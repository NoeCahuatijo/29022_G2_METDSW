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eval\Downloads\"/>
    </mc:Choice>
  </mc:AlternateContent>
  <xr:revisionPtr revIDLastSave="0" documentId="8_{24C565AC-64AC-4B5C-99DB-1472CE63DB0F}" xr6:coauthVersionLast="47" xr6:coauthVersionMax="47" xr10:uidLastSave="{00000000-0000-0000-0000-000000000000}"/>
  <workbookProtection lockStructure="1"/>
  <bookViews>
    <workbookView xWindow="-105" yWindow="0" windowWidth="12210" windowHeight="14385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D55" i="5" s="1" a="1"/>
  <c r="D55" i="5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4" i="5" l="1" a="1"/>
  <c r="D54" i="5" s="1"/>
  <c r="D51" i="5" a="1"/>
  <c r="D51" i="5" s="1"/>
  <c r="D60" i="5" a="1"/>
  <c r="D60" i="5" s="1"/>
  <c r="D57" i="5" a="1"/>
  <c r="D57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9" i="5"/>
  <c r="G58" i="5"/>
  <c r="G46" i="5"/>
  <c r="G97" i="5"/>
  <c r="G92" i="5"/>
  <c r="G30" i="5"/>
  <c r="G68" i="5"/>
  <c r="G57" i="5"/>
  <c r="G77" i="5"/>
  <c r="G100" i="5"/>
  <c r="G43" i="5"/>
  <c r="G38" i="5"/>
  <c r="G64" i="5"/>
  <c r="G99" i="5"/>
  <c r="G94" i="5"/>
  <c r="G79" i="5"/>
  <c r="G51" i="5"/>
  <c r="G81" i="5"/>
  <c r="G53" i="5"/>
  <c r="G83" i="5"/>
  <c r="G50" i="5"/>
  <c r="G49" i="5"/>
  <c r="G4" i="5"/>
  <c r="G65" i="5"/>
  <c r="G63" i="5"/>
  <c r="G96" i="5"/>
  <c r="G88" i="5"/>
  <c r="G35" i="5"/>
  <c r="G5" i="5"/>
  <c r="G67" i="5"/>
  <c r="G21" i="5"/>
  <c r="G36" i="5"/>
  <c r="G40" i="5"/>
  <c r="G60" i="5"/>
  <c r="G15" i="5"/>
  <c r="G20" i="5"/>
  <c r="G19" i="5"/>
  <c r="G3" i="5"/>
  <c r="G56" i="5"/>
  <c r="G52" i="5"/>
  <c r="G95" i="5"/>
  <c r="G101" i="5"/>
  <c r="G98" i="5"/>
  <c r="G69" i="5"/>
  <c r="G24" i="5"/>
  <c r="G23" i="5"/>
  <c r="G41" i="5"/>
  <c r="G75" i="5"/>
  <c r="G54" i="5"/>
  <c r="G27" i="5"/>
  <c r="G45" i="5"/>
  <c r="G74" i="5"/>
  <c r="G11" i="5"/>
  <c r="G29" i="5"/>
  <c r="G85" i="5"/>
  <c r="G89" i="5"/>
  <c r="G72" i="5"/>
  <c r="G42" i="5"/>
  <c r="G47" i="5"/>
  <c r="G31" i="5"/>
  <c r="G91" i="5"/>
  <c r="G48" i="5"/>
  <c r="G86" i="5"/>
  <c r="G84" i="5"/>
  <c r="G90" i="5"/>
  <c r="G71" i="5"/>
  <c r="G6" i="5"/>
  <c r="G2" i="5"/>
  <c r="G10" i="5"/>
  <c r="G66" i="5"/>
  <c r="G8" i="5"/>
  <c r="G25" i="5"/>
  <c r="G9" i="5"/>
  <c r="G73" i="5"/>
  <c r="G44" i="5"/>
  <c r="G78" i="5"/>
  <c r="G61" i="5"/>
  <c r="G76" i="5"/>
  <c r="G14" i="5"/>
  <c r="G70" i="5"/>
  <c r="G12" i="5"/>
  <c r="G80" i="5"/>
  <c r="G33" i="5"/>
  <c r="G13" i="5"/>
  <c r="G34" i="5"/>
  <c r="G28" i="5"/>
  <c r="G87" i="5"/>
  <c r="G18" i="5"/>
  <c r="G62" i="5"/>
  <c r="G55" i="5"/>
  <c r="G93" i="5"/>
  <c r="G26" i="5"/>
  <c r="G39" i="5"/>
  <c r="G37" i="5"/>
  <c r="G7" i="5"/>
  <c r="G22" i="5"/>
  <c r="G32" i="5"/>
  <c r="G82" i="5"/>
  <c r="G17" i="5"/>
  <c r="G16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N82" i="5"/>
  <c r="N38" i="5"/>
  <c r="N101" i="5"/>
  <c r="M32" i="5"/>
  <c r="M19" i="5"/>
  <c r="N80" i="5"/>
  <c r="E53" i="5"/>
  <c r="N2" i="5"/>
  <c r="M51" i="5"/>
  <c r="M23" i="5"/>
  <c r="N89" i="5"/>
  <c r="E31" i="5"/>
  <c r="M11" i="5"/>
  <c r="N21" i="5"/>
  <c r="N67" i="5"/>
  <c r="E54" i="5"/>
  <c r="M101" i="5"/>
  <c r="N37" i="5"/>
  <c r="N74" i="5"/>
  <c r="N10" i="5"/>
  <c r="M17" i="5"/>
  <c r="E25" i="5"/>
  <c r="M59" i="5"/>
  <c r="N13" i="5"/>
  <c r="E79" i="5"/>
  <c r="M85" i="5"/>
  <c r="E7" i="5"/>
  <c r="E32" i="5"/>
  <c r="E55" i="5"/>
  <c r="M30" i="5"/>
  <c r="M46" i="5"/>
  <c r="M29" i="5"/>
  <c r="E85" i="5"/>
  <c r="E35" i="5"/>
  <c r="N57" i="5"/>
  <c r="M21" i="5"/>
  <c r="E77" i="5"/>
  <c r="N30" i="5"/>
  <c r="N96" i="5"/>
  <c r="N41" i="5"/>
  <c r="N73" i="5"/>
  <c r="N97" i="5"/>
  <c r="N42" i="5"/>
  <c r="M86" i="5"/>
  <c r="N49" i="5"/>
  <c r="E56" i="5"/>
  <c r="M15" i="5"/>
  <c r="N84" i="5"/>
  <c r="M38" i="5"/>
  <c r="M75" i="5"/>
  <c r="M96" i="5"/>
  <c r="N7" i="5"/>
  <c r="N33" i="5"/>
  <c r="M41" i="5"/>
  <c r="N35" i="5"/>
  <c r="M77" i="5"/>
  <c r="N39" i="5"/>
  <c r="N36" i="5"/>
  <c r="E30" i="5"/>
  <c r="N63" i="5"/>
  <c r="E67" i="5"/>
  <c r="N15" i="5"/>
  <c r="E87" i="5"/>
  <c r="M39" i="5"/>
  <c r="M47" i="5"/>
  <c r="M90" i="5"/>
  <c r="E34" i="5"/>
  <c r="E65" i="5"/>
  <c r="M72" i="5"/>
  <c r="N86" i="5"/>
  <c r="N69" i="5"/>
  <c r="N46" i="5"/>
  <c r="M100" i="5"/>
  <c r="E36" i="5"/>
  <c r="M93" i="5"/>
  <c r="N6" i="5"/>
  <c r="M45" i="5"/>
  <c r="N64" i="5"/>
  <c r="E27" i="5"/>
  <c r="N90" i="5"/>
  <c r="E37" i="5"/>
  <c r="N32" i="5"/>
  <c r="N29" i="5"/>
  <c r="N65" i="5"/>
  <c r="M68" i="5"/>
  <c r="M7" i="5"/>
  <c r="N12" i="5"/>
  <c r="N56" i="5"/>
  <c r="N5" i="5"/>
  <c r="M27" i="5"/>
  <c r="N34" i="5"/>
  <c r="E96" i="5"/>
  <c r="E78" i="5"/>
  <c r="E12" i="5"/>
  <c r="E91" i="5"/>
  <c r="M35" i="5"/>
  <c r="N59" i="5"/>
  <c r="E58" i="5"/>
  <c r="E11" i="5"/>
  <c r="E10" i="5"/>
  <c r="E9" i="5"/>
  <c r="M33" i="5"/>
  <c r="M73" i="5"/>
  <c r="E8" i="5"/>
  <c r="E83" i="5"/>
  <c r="E46" i="5"/>
  <c r="M4" i="5"/>
  <c r="E5" i="5"/>
  <c r="E52" i="5"/>
  <c r="M84" i="5"/>
  <c r="E86" i="5"/>
  <c r="E33" i="5"/>
  <c r="M37" i="5"/>
  <c r="N100" i="5"/>
  <c r="E29" i="5"/>
  <c r="N20" i="5"/>
  <c r="M60" i="5"/>
  <c r="N76" i="5"/>
  <c r="E93" i="5"/>
  <c r="E66" i="5"/>
  <c r="N53" i="5"/>
  <c r="E84" i="5"/>
  <c r="M64" i="5"/>
  <c r="M69" i="5"/>
  <c r="M25" i="5"/>
  <c r="M31" i="5"/>
  <c r="N11" i="5"/>
  <c r="E19" i="5"/>
  <c r="M65" i="5"/>
  <c r="M89" i="5"/>
  <c r="N45" i="5"/>
  <c r="N98" i="5"/>
  <c r="M44" i="5"/>
  <c r="E26" i="5"/>
  <c r="M12" i="5"/>
  <c r="M70" i="5"/>
  <c r="E51" i="5"/>
  <c r="M14" i="5"/>
  <c r="E64" i="5"/>
  <c r="N94" i="5"/>
  <c r="M88" i="5"/>
  <c r="M9" i="5"/>
  <c r="N18" i="5"/>
  <c r="E41" i="5"/>
  <c r="N95" i="5"/>
  <c r="M62" i="5"/>
  <c r="M74" i="5"/>
  <c r="E16" i="5"/>
  <c r="N3" i="5"/>
  <c r="E72" i="5"/>
  <c r="E45" i="5"/>
  <c r="M43" i="5"/>
  <c r="E50" i="5"/>
  <c r="N25" i="5"/>
  <c r="M56" i="5"/>
  <c r="M91" i="5"/>
  <c r="M53" i="5"/>
  <c r="M24" i="5"/>
  <c r="M83" i="5"/>
  <c r="M54" i="5"/>
  <c r="N22" i="5"/>
  <c r="N92" i="5"/>
  <c r="N72" i="5"/>
  <c r="E17" i="5"/>
  <c r="E88" i="5"/>
  <c r="N26" i="5"/>
  <c r="E80" i="5"/>
  <c r="M52" i="5"/>
  <c r="E82" i="5"/>
  <c r="M63" i="5"/>
  <c r="M26" i="5"/>
  <c r="M97" i="5"/>
  <c r="N58" i="5"/>
  <c r="N50" i="5"/>
  <c r="N31" i="5"/>
  <c r="M10" i="5"/>
  <c r="M16" i="5"/>
  <c r="N70" i="5"/>
  <c r="N55" i="5"/>
  <c r="E18" i="5"/>
  <c r="M22" i="5"/>
  <c r="E94" i="5"/>
  <c r="M92" i="5"/>
  <c r="M71" i="5"/>
  <c r="E75" i="5"/>
  <c r="E100" i="5"/>
  <c r="N54" i="5"/>
  <c r="M61" i="5"/>
  <c r="E14" i="5"/>
  <c r="M42" i="5"/>
  <c r="E90" i="5"/>
  <c r="E76" i="5"/>
  <c r="E49" i="5"/>
  <c r="N93" i="5"/>
  <c r="E6" i="5"/>
  <c r="M58" i="5"/>
  <c r="E97" i="5"/>
  <c r="N27" i="5"/>
  <c r="E43" i="5"/>
  <c r="E21" i="5"/>
  <c r="M67" i="5"/>
  <c r="E48" i="5"/>
  <c r="N16" i="5"/>
  <c r="E71" i="5"/>
  <c r="E40" i="5"/>
  <c r="M28" i="5"/>
  <c r="M50" i="5"/>
  <c r="E99" i="5"/>
  <c r="M48" i="5"/>
  <c r="M49" i="5"/>
  <c r="N48" i="5"/>
  <c r="E62" i="5"/>
  <c r="M6" i="5"/>
  <c r="N83" i="5"/>
  <c r="N79" i="5"/>
  <c r="M34" i="5"/>
  <c r="E15" i="5"/>
  <c r="E44" i="5"/>
  <c r="E89" i="5"/>
  <c r="M87" i="5"/>
  <c r="N60" i="5"/>
  <c r="E92" i="5"/>
  <c r="N28" i="5"/>
  <c r="M76" i="5"/>
  <c r="N17" i="5"/>
  <c r="E22" i="5"/>
  <c r="N71" i="5"/>
  <c r="N75" i="5"/>
  <c r="N77" i="5"/>
  <c r="E38" i="5"/>
  <c r="E61" i="5"/>
  <c r="N23" i="5"/>
  <c r="E63" i="5"/>
  <c r="N81" i="5"/>
  <c r="N4" i="5"/>
  <c r="N43" i="5"/>
  <c r="E57" i="5"/>
  <c r="N62" i="5"/>
  <c r="M57" i="5"/>
  <c r="E59" i="5"/>
  <c r="E2" i="5"/>
  <c r="M94" i="5"/>
  <c r="M79" i="5"/>
  <c r="N91" i="5"/>
  <c r="N66" i="5"/>
  <c r="M95" i="5"/>
  <c r="E24" i="5"/>
  <c r="E4" i="5"/>
  <c r="N14" i="5"/>
  <c r="N40" i="5"/>
  <c r="E47" i="5"/>
  <c r="N51" i="5"/>
  <c r="M98" i="5"/>
  <c r="N47" i="5"/>
  <c r="M40" i="5"/>
  <c r="M3" i="5"/>
  <c r="N87" i="5"/>
  <c r="M36" i="5"/>
  <c r="E20" i="5"/>
  <c r="M13" i="5"/>
  <c r="E60" i="5"/>
  <c r="N8" i="5"/>
  <c r="N9" i="5"/>
  <c r="E101" i="5"/>
  <c r="E68" i="5"/>
  <c r="E81" i="5"/>
  <c r="M66" i="5"/>
  <c r="M99" i="5"/>
  <c r="E13" i="5"/>
  <c r="N61" i="5"/>
  <c r="M81" i="5"/>
  <c r="M80" i="5"/>
  <c r="E42" i="5"/>
  <c r="E70" i="5"/>
  <c r="E39" i="5"/>
  <c r="E23" i="5"/>
  <c r="N88" i="5"/>
  <c r="E28" i="5"/>
  <c r="N68" i="5"/>
  <c r="N24" i="5"/>
  <c r="M82" i="5"/>
  <c r="E95" i="5"/>
  <c r="N19" i="5"/>
  <c r="E98" i="5"/>
  <c r="M5" i="5"/>
  <c r="M20" i="5"/>
  <c r="E74" i="5"/>
  <c r="N78" i="5"/>
  <c r="N99" i="5"/>
  <c r="M78" i="5"/>
  <c r="E69" i="5"/>
  <c r="N52" i="5"/>
  <c r="M8" i="5"/>
  <c r="E3" i="5"/>
  <c r="M2" i="5"/>
  <c r="N85" i="5"/>
  <c r="M55" i="5"/>
  <c r="M18" i="5"/>
  <c r="N44" i="5"/>
  <c r="E73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93" i="5"/>
  <c r="L82" i="5"/>
  <c r="L43" i="5"/>
  <c r="J7" i="5"/>
  <c r="L94" i="5"/>
  <c r="J51" i="5"/>
  <c r="J52" i="5"/>
  <c r="J79" i="5"/>
  <c r="L5" i="5"/>
  <c r="L53" i="5"/>
  <c r="J65" i="5"/>
  <c r="L14" i="5"/>
  <c r="L22" i="5"/>
  <c r="L49" i="5"/>
  <c r="J13" i="5"/>
  <c r="L34" i="5"/>
  <c r="J58" i="5"/>
  <c r="L28" i="5"/>
  <c r="J17" i="5"/>
  <c r="J31" i="5"/>
  <c r="L97" i="5"/>
  <c r="J45" i="5"/>
  <c r="J44" i="5"/>
  <c r="J91" i="5"/>
  <c r="L17" i="5"/>
  <c r="J30" i="5"/>
  <c r="L31" i="5"/>
  <c r="L44" i="5"/>
  <c r="J62" i="5"/>
  <c r="J92" i="5"/>
  <c r="L75" i="5"/>
  <c r="J5" i="5"/>
  <c r="J2" i="5"/>
  <c r="J95" i="5"/>
  <c r="J100" i="5"/>
  <c r="J71" i="5"/>
  <c r="J99" i="5"/>
  <c r="L33" i="5"/>
  <c r="J20" i="5"/>
  <c r="J81" i="5"/>
  <c r="J11" i="5"/>
  <c r="L10" i="5"/>
  <c r="J54" i="5"/>
  <c r="L64" i="5"/>
  <c r="J22" i="5"/>
  <c r="L26" i="5"/>
  <c r="J28" i="5"/>
  <c r="L61" i="5"/>
  <c r="L67" i="5"/>
  <c r="J97" i="5"/>
  <c r="L65" i="5"/>
  <c r="L11" i="5"/>
  <c r="J23" i="5"/>
  <c r="L57" i="5"/>
  <c r="L25" i="5"/>
  <c r="J93" i="5"/>
  <c r="L88" i="5"/>
  <c r="L83" i="5"/>
  <c r="J9" i="5"/>
  <c r="J85" i="5"/>
  <c r="L74" i="5"/>
  <c r="J68" i="5"/>
  <c r="J56" i="5"/>
  <c r="L99" i="5"/>
  <c r="J32" i="5"/>
  <c r="L60" i="5"/>
  <c r="J64" i="5"/>
  <c r="L69" i="5"/>
  <c r="J84" i="5"/>
  <c r="J101" i="5"/>
  <c r="L21" i="5"/>
  <c r="L6" i="5"/>
  <c r="J72" i="5"/>
  <c r="J61" i="5"/>
  <c r="L79" i="5"/>
  <c r="J87" i="5"/>
  <c r="L42" i="5"/>
  <c r="L71" i="5"/>
  <c r="J76" i="5"/>
  <c r="L98" i="5"/>
  <c r="L96" i="5"/>
  <c r="L47" i="5"/>
  <c r="J70" i="5"/>
  <c r="J34" i="5"/>
  <c r="L18" i="5"/>
  <c r="J21" i="5"/>
  <c r="J37" i="5"/>
  <c r="L100" i="5"/>
  <c r="L58" i="5"/>
  <c r="J38" i="5"/>
  <c r="L89" i="5"/>
  <c r="J8" i="5"/>
  <c r="L39" i="5"/>
  <c r="J42" i="5"/>
  <c r="L70" i="5"/>
  <c r="J73" i="5"/>
  <c r="L91" i="5"/>
  <c r="L48" i="5"/>
  <c r="L27" i="5"/>
  <c r="J25" i="5"/>
  <c r="J49" i="5"/>
  <c r="J4" i="5"/>
  <c r="J83" i="5"/>
  <c r="L54" i="5"/>
  <c r="L62" i="5"/>
  <c r="L76" i="5"/>
  <c r="J59" i="5"/>
  <c r="J3" i="5"/>
  <c r="L90" i="5"/>
  <c r="J36" i="5"/>
  <c r="J86" i="5"/>
  <c r="L4" i="5"/>
  <c r="J90" i="5"/>
  <c r="L15" i="5"/>
  <c r="J40" i="5"/>
  <c r="L87" i="5"/>
  <c r="L13" i="5"/>
  <c r="L80" i="5"/>
  <c r="L86" i="5"/>
  <c r="L29" i="5"/>
  <c r="L24" i="5"/>
  <c r="L85" i="5"/>
  <c r="L59" i="5"/>
  <c r="L19" i="5"/>
  <c r="J27" i="5"/>
  <c r="J94" i="5"/>
  <c r="L41" i="5"/>
  <c r="L101" i="5"/>
  <c r="L68" i="5"/>
  <c r="L9" i="5"/>
  <c r="J69" i="5"/>
  <c r="J16" i="5"/>
  <c r="L37" i="5"/>
  <c r="J15" i="5"/>
  <c r="L30" i="5"/>
  <c r="J12" i="5"/>
  <c r="J24" i="5"/>
  <c r="L32" i="5"/>
  <c r="L46" i="5"/>
  <c r="L50" i="5"/>
  <c r="L7" i="5"/>
  <c r="L84" i="5"/>
  <c r="L45" i="5"/>
  <c r="L8" i="5"/>
  <c r="J43" i="5"/>
  <c r="L55" i="5"/>
  <c r="J41" i="5"/>
  <c r="J35" i="5"/>
  <c r="J80" i="5"/>
  <c r="L51" i="5"/>
  <c r="L2" i="5"/>
  <c r="J26" i="5"/>
  <c r="L56" i="5"/>
  <c r="L16" i="5"/>
  <c r="J75" i="5"/>
  <c r="J98" i="5"/>
  <c r="L23" i="5"/>
  <c r="J74" i="5"/>
  <c r="J14" i="5"/>
  <c r="L52" i="5"/>
  <c r="J96" i="5"/>
  <c r="J60" i="5"/>
  <c r="J57" i="5"/>
  <c r="L92" i="5"/>
  <c r="L63" i="5"/>
  <c r="L81" i="5"/>
  <c r="J10" i="5"/>
  <c r="L73" i="5"/>
  <c r="J82" i="5"/>
  <c r="L36" i="5"/>
  <c r="J55" i="5"/>
  <c r="J39" i="5"/>
  <c r="J78" i="5"/>
  <c r="J19" i="5"/>
  <c r="L95" i="5"/>
  <c r="J6" i="5"/>
  <c r="J50" i="5"/>
  <c r="J53" i="5"/>
  <c r="L77" i="5"/>
  <c r="J77" i="5"/>
  <c r="L40" i="5"/>
  <c r="J48" i="5"/>
  <c r="J46" i="5"/>
  <c r="J89" i="5"/>
  <c r="L12" i="5"/>
  <c r="J66" i="5"/>
  <c r="L66" i="5"/>
  <c r="J18" i="5"/>
  <c r="J67" i="5"/>
  <c r="J88" i="5"/>
  <c r="J63" i="5"/>
  <c r="L72" i="5"/>
  <c r="L78" i="5"/>
  <c r="L20" i="5"/>
  <c r="L3" i="5"/>
  <c r="J33" i="5"/>
  <c r="L38" i="5"/>
  <c r="J47" i="5"/>
  <c r="L35" i="5"/>
  <c r="J29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57" i="5"/>
  <c r="K71" i="5"/>
  <c r="K45" i="5"/>
  <c r="K35" i="5"/>
  <c r="K93" i="5"/>
  <c r="K14" i="5"/>
  <c r="K9" i="5"/>
  <c r="K98" i="5"/>
  <c r="K51" i="5"/>
  <c r="K95" i="5"/>
  <c r="K42" i="5"/>
  <c r="K62" i="5"/>
  <c r="K48" i="5"/>
  <c r="K78" i="5"/>
  <c r="K47" i="5"/>
  <c r="K10" i="5"/>
  <c r="K69" i="5"/>
  <c r="K92" i="5"/>
  <c r="K76" i="5"/>
  <c r="K80" i="5"/>
  <c r="K4" i="5"/>
  <c r="K61" i="5"/>
  <c r="K18" i="5"/>
  <c r="K101" i="5"/>
  <c r="K17" i="5"/>
  <c r="K2" i="5"/>
  <c r="K50" i="5"/>
  <c r="K99" i="5"/>
  <c r="K24" i="5"/>
  <c r="K33" i="5"/>
  <c r="K53" i="5"/>
  <c r="K100" i="5"/>
  <c r="K5" i="5"/>
  <c r="K79" i="5"/>
  <c r="K84" i="5"/>
  <c r="K87" i="5"/>
  <c r="K21" i="5"/>
  <c r="K75" i="5"/>
  <c r="K44" i="5"/>
  <c r="K54" i="5"/>
  <c r="K65" i="5"/>
  <c r="K55" i="5"/>
  <c r="K49" i="5"/>
  <c r="K86" i="5"/>
  <c r="K43" i="5"/>
  <c r="K72" i="5"/>
  <c r="K64" i="5"/>
  <c r="K23" i="5"/>
  <c r="K70" i="5"/>
  <c r="K66" i="5"/>
  <c r="K40" i="5"/>
  <c r="K41" i="5"/>
  <c r="K7" i="5"/>
  <c r="K12" i="5"/>
  <c r="K58" i="5"/>
  <c r="K73" i="5"/>
  <c r="K38" i="5"/>
  <c r="K83" i="5"/>
  <c r="K30" i="5"/>
  <c r="K26" i="5"/>
  <c r="K13" i="5"/>
  <c r="K82" i="5"/>
  <c r="K32" i="5"/>
  <c r="K52" i="5"/>
  <c r="K29" i="5"/>
  <c r="K60" i="5"/>
  <c r="K34" i="5"/>
  <c r="K77" i="5"/>
  <c r="K94" i="5"/>
  <c r="K27" i="5"/>
  <c r="K96" i="5"/>
  <c r="K25" i="5"/>
  <c r="K56" i="5"/>
  <c r="K59" i="5"/>
  <c r="K11" i="5"/>
  <c r="K68" i="5"/>
  <c r="K74" i="5"/>
  <c r="K85" i="5"/>
  <c r="K8" i="5"/>
  <c r="K3" i="5"/>
  <c r="K16" i="5"/>
  <c r="K63" i="5"/>
  <c r="K88" i="5"/>
  <c r="K91" i="5"/>
  <c r="K20" i="5"/>
  <c r="K37" i="5"/>
  <c r="K15" i="5"/>
  <c r="K97" i="5"/>
  <c r="K90" i="5"/>
  <c r="K22" i="5"/>
  <c r="K39" i="5"/>
  <c r="K81" i="5"/>
  <c r="K19" i="5"/>
  <c r="K31" i="5"/>
  <c r="K89" i="5"/>
  <c r="K36" i="5"/>
  <c r="K67" i="5"/>
  <c r="K46" i="5"/>
  <c r="K28" i="5"/>
  <c r="K6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48" i="5"/>
  <c r="I24" i="5"/>
  <c r="I5" i="5"/>
  <c r="I88" i="5"/>
  <c r="I9" i="5"/>
  <c r="I77" i="5"/>
  <c r="I52" i="5"/>
  <c r="I13" i="5"/>
  <c r="I10" i="5"/>
  <c r="I80" i="5"/>
  <c r="I62" i="5"/>
  <c r="I76" i="5"/>
  <c r="I87" i="5"/>
  <c r="I4" i="5"/>
  <c r="I28" i="5"/>
  <c r="I72" i="5"/>
  <c r="I67" i="5"/>
  <c r="I59" i="5"/>
  <c r="I81" i="5"/>
  <c r="I71" i="5"/>
  <c r="I61" i="5"/>
  <c r="I22" i="5"/>
  <c r="I94" i="5"/>
  <c r="I30" i="5"/>
  <c r="I75" i="5"/>
  <c r="I35" i="5"/>
  <c r="I51" i="5"/>
  <c r="I25" i="5"/>
  <c r="I78" i="5"/>
  <c r="I12" i="5"/>
  <c r="I47" i="5"/>
  <c r="I33" i="5"/>
  <c r="I8" i="5"/>
  <c r="I69" i="5"/>
  <c r="I84" i="5"/>
  <c r="I55" i="5"/>
  <c r="I38" i="5"/>
  <c r="I49" i="5"/>
  <c r="I16" i="5"/>
  <c r="I19" i="5"/>
  <c r="I91" i="5"/>
  <c r="I96" i="5"/>
  <c r="I50" i="5"/>
  <c r="I79" i="5"/>
  <c r="I86" i="5"/>
  <c r="I97" i="5"/>
  <c r="I45" i="5"/>
  <c r="I40" i="5"/>
  <c r="I34" i="5"/>
  <c r="I26" i="5"/>
  <c r="I2" i="5"/>
  <c r="I29" i="5"/>
  <c r="I89" i="5"/>
  <c r="I101" i="5"/>
  <c r="I37" i="5"/>
  <c r="I6" i="5"/>
  <c r="I15" i="5"/>
  <c r="I68" i="5"/>
  <c r="I60" i="5"/>
  <c r="I74" i="5"/>
  <c r="I17" i="5"/>
  <c r="I18" i="5"/>
  <c r="I14" i="5"/>
  <c r="I44" i="5"/>
  <c r="I70" i="5"/>
  <c r="I90" i="5"/>
  <c r="I73" i="5"/>
  <c r="I85" i="5"/>
  <c r="I43" i="5"/>
  <c r="I93" i="5"/>
  <c r="I41" i="5"/>
  <c r="I56" i="5"/>
  <c r="I83" i="5"/>
  <c r="I99" i="5"/>
  <c r="I95" i="5"/>
  <c r="I66" i="5"/>
  <c r="I36" i="5"/>
  <c r="I54" i="5"/>
  <c r="I39" i="5"/>
  <c r="I98" i="5"/>
  <c r="I58" i="5"/>
  <c r="I27" i="5"/>
  <c r="I82" i="5"/>
  <c r="I7" i="5"/>
  <c r="I46" i="5"/>
  <c r="I63" i="5"/>
  <c r="I64" i="5"/>
  <c r="I23" i="5"/>
  <c r="I21" i="5"/>
  <c r="I57" i="5"/>
  <c r="I31" i="5"/>
  <c r="I3" i="5"/>
  <c r="I11" i="5"/>
  <c r="I92" i="5"/>
  <c r="I65" i="5"/>
  <c r="I20" i="5"/>
  <c r="I32" i="5"/>
  <c r="I100" i="5"/>
  <c r="I42" i="5"/>
  <c r="I5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56" i="5"/>
  <c r="F72" i="5"/>
  <c r="F5" i="5"/>
  <c r="F6" i="5"/>
  <c r="F8" i="5"/>
  <c r="F20" i="5"/>
  <c r="F45" i="5"/>
  <c r="F85" i="5"/>
  <c r="F14" i="5"/>
  <c r="F57" i="5"/>
  <c r="F68" i="5"/>
  <c r="F74" i="5"/>
  <c r="F31" i="5"/>
  <c r="F82" i="5"/>
  <c r="F43" i="5"/>
  <c r="F46" i="5"/>
  <c r="F19" i="5"/>
  <c r="F40" i="5"/>
  <c r="F37" i="5"/>
  <c r="F77" i="5"/>
  <c r="F39" i="5"/>
  <c r="F99" i="5"/>
  <c r="F33" i="5"/>
  <c r="F90" i="5"/>
  <c r="F17" i="5"/>
  <c r="F29" i="5"/>
  <c r="F92" i="5"/>
  <c r="F15" i="5"/>
  <c r="F35" i="5"/>
  <c r="F52" i="5"/>
  <c r="F67" i="5"/>
  <c r="F16" i="5"/>
  <c r="F50" i="5"/>
  <c r="F30" i="5"/>
  <c r="F12" i="5"/>
  <c r="F83" i="5"/>
  <c r="F3" i="5"/>
  <c r="F86" i="5"/>
  <c r="F26" i="5"/>
  <c r="F4" i="5"/>
  <c r="F78" i="5"/>
  <c r="F42" i="5"/>
  <c r="F11" i="5"/>
  <c r="F22" i="5"/>
  <c r="F71" i="5"/>
  <c r="F27" i="5"/>
  <c r="F2" i="5"/>
  <c r="F61" i="5"/>
  <c r="F69" i="5"/>
  <c r="F70" i="5"/>
  <c r="F96" i="5"/>
  <c r="F47" i="5"/>
  <c r="F28" i="5"/>
  <c r="F100" i="5"/>
  <c r="F41" i="5"/>
  <c r="F38" i="5"/>
  <c r="F87" i="5"/>
  <c r="F66" i="5"/>
  <c r="F97" i="5"/>
  <c r="F24" i="5"/>
  <c r="F60" i="5"/>
  <c r="F9" i="5"/>
  <c r="F63" i="5"/>
  <c r="F65" i="5"/>
  <c r="F49" i="5"/>
  <c r="F21" i="5"/>
  <c r="F93" i="5"/>
  <c r="F64" i="5"/>
  <c r="F98" i="5"/>
  <c r="F10" i="5"/>
  <c r="F94" i="5"/>
  <c r="F101" i="5"/>
  <c r="F51" i="5"/>
  <c r="F34" i="5"/>
  <c r="F18" i="5"/>
  <c r="F58" i="5"/>
  <c r="F80" i="5"/>
  <c r="F44" i="5"/>
  <c r="F54" i="5"/>
  <c r="F55" i="5"/>
  <c r="F88" i="5"/>
  <c r="F84" i="5"/>
  <c r="F23" i="5"/>
  <c r="F48" i="5"/>
  <c r="F32" i="5"/>
  <c r="F73" i="5"/>
  <c r="F75" i="5"/>
  <c r="F7" i="5"/>
  <c r="F79" i="5"/>
  <c r="F91" i="5"/>
  <c r="F95" i="5"/>
  <c r="F76" i="5"/>
  <c r="F13" i="5"/>
  <c r="F59" i="5"/>
  <c r="F62" i="5"/>
  <c r="F36" i="5"/>
  <c r="F53" i="5"/>
  <c r="F25" i="5"/>
  <c r="F81" i="5"/>
  <c r="F89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6" i="5"/>
  <c r="H56" i="5"/>
  <c r="H27" i="5"/>
  <c r="H40" i="5"/>
  <c r="H23" i="5"/>
  <c r="H26" i="5"/>
  <c r="H22" i="5"/>
  <c r="H77" i="5"/>
  <c r="H87" i="5"/>
  <c r="H52" i="5"/>
  <c r="H42" i="5"/>
  <c r="H64" i="5"/>
  <c r="H33" i="5"/>
  <c r="H89" i="5"/>
  <c r="H90" i="5"/>
  <c r="H99" i="5"/>
  <c r="H53" i="5"/>
  <c r="H88" i="5"/>
  <c r="H100" i="5"/>
  <c r="H20" i="5"/>
  <c r="H34" i="5"/>
  <c r="H29" i="5"/>
  <c r="H6" i="5"/>
  <c r="H80" i="5"/>
  <c r="H11" i="5"/>
  <c r="H86" i="5"/>
  <c r="H19" i="5"/>
  <c r="H58" i="5"/>
  <c r="H62" i="5"/>
  <c r="H55" i="5"/>
  <c r="H79" i="5"/>
  <c r="H95" i="5"/>
  <c r="H21" i="5"/>
  <c r="H67" i="5"/>
  <c r="H49" i="5"/>
  <c r="H65" i="5"/>
  <c r="H45" i="5"/>
  <c r="H41" i="5"/>
  <c r="H9" i="5"/>
  <c r="H69" i="5"/>
  <c r="H57" i="5"/>
  <c r="H5" i="5"/>
  <c r="H17" i="5"/>
  <c r="H12" i="5"/>
  <c r="H81" i="5"/>
  <c r="H4" i="5"/>
  <c r="H60" i="5"/>
  <c r="H50" i="5"/>
  <c r="H94" i="5"/>
  <c r="H98" i="5"/>
  <c r="H15" i="5"/>
  <c r="H16" i="5"/>
  <c r="H91" i="5"/>
  <c r="H96" i="5"/>
  <c r="H73" i="5"/>
  <c r="H92" i="5"/>
  <c r="H61" i="5"/>
  <c r="H24" i="5"/>
  <c r="H44" i="5"/>
  <c r="H63" i="5"/>
  <c r="H18" i="5"/>
  <c r="H75" i="5"/>
  <c r="H101" i="5"/>
  <c r="H82" i="5"/>
  <c r="H30" i="5"/>
  <c r="H39" i="5"/>
  <c r="H31" i="5"/>
  <c r="H54" i="5"/>
  <c r="H14" i="5"/>
  <c r="H37" i="5"/>
  <c r="H70" i="5"/>
  <c r="H68" i="5"/>
  <c r="H7" i="5"/>
  <c r="H85" i="5"/>
  <c r="H51" i="5"/>
  <c r="H78" i="5"/>
  <c r="H59" i="5"/>
  <c r="H48" i="5"/>
  <c r="H84" i="5"/>
  <c r="H8" i="5"/>
  <c r="H76" i="5"/>
  <c r="H43" i="5"/>
  <c r="H10" i="5"/>
  <c r="H71" i="5"/>
  <c r="H74" i="5"/>
  <c r="H3" i="5"/>
  <c r="H35" i="5"/>
  <c r="H25" i="5"/>
  <c r="H83" i="5"/>
  <c r="H2" i="5"/>
  <c r="H46" i="5"/>
  <c r="H13" i="5"/>
  <c r="H93" i="5"/>
  <c r="H97" i="5"/>
  <c r="H66" i="5"/>
  <c r="H32" i="5"/>
  <c r="H28" i="5"/>
  <c r="H38" i="5"/>
  <c r="H47" i="5"/>
  <c r="H72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<sst xmlns="http://schemas.openxmlformats.org/spreadsheetml/2006/main" count="320" uniqueCount="251">
  <si>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</si>
  <si>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</si>
  <si>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</si>
  <si>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</si>
  <si>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</si>
  <si>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</si>
  <si>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</si>
  <si>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</si>
  <si>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</si>
  <si>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</si>
  <si>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</si>
  <si>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</si>
  <si>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</si>
  <si>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</si>
  <si>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</si>
  <si>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</si>
  <si>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</si>
  <si>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</si>
  <si>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</si>
  <si>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</si>
  <si>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</si>
  <si>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</si>
  <si>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</si>
  <si>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</si>
  <si>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</si>
  <si>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</si>
  <si>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</si>
  <si>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</si>
  <si>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</si>
  <si>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</si>
  <si>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</si>
  <si>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</si>
  <si>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</si>
  <si>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</si>
  <si>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</si>
  <si>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</si>
  <si>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</si>
  <si>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</si>
  <si>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</si>
  <si>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</si>
  <si>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</si>
  <si>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</si>
  <si>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</si>
  <si>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</si>
  <si>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</si>
  <si>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</si>
  <si>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</si>
  <si>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</si>
  <si>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</si>
  <si>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</si>
  <si>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</si>
  <si>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</si>
  <si>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</si>
  <si>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</si>
  <si>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</si>
  <si>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</si>
  <si>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</si>
  <si>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</si>
  <si>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</si>
  <si>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</si>
  <si>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</si>
  <si>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</si>
  <si>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</si>
  <si>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</si>
  <si>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</si>
  <si>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</si>
  <si>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</si>
  <si>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</si>
  <si>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</si>
  <si>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</si>
  <si>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</si>
  <si>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</si>
  <si>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</si>
  <si>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</si>
  <si>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</si>
  <si>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</si>
  <si>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</si>
  <si>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</si>
  <si>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</si>
  <si>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</si>
  <si>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</si>
  <si>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</si>
  <si>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</si>
  <si>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</si>
  <si>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</si>
  <si>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</si>
  <si>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</si>
  <si>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</si>
  <si>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</si>
  <si>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</si>
  <si>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</si>
  <si>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</si>
  <si>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</si>
  <si>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</si>
  <si>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</si>
  <si>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</si>
  <si>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</si>
  <si>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</si>
  <si>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</si>
  <si>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</si>
  <si>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</si>
  <si>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</si>
  <si>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</si>
  <si>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</si>
  <si>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</si>
  <si>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</si>
  <si>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</si>
  <si>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</si>
  <si>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</si>
  <si>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</si>
  <si>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</si>
  <si>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</si>
  <si>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</si>
  <si>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</si>
  <si>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</si>
  <si>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</si>
  <si>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</si>
  <si>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</si>
  <si>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</si>
  <si>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</si>
  <si>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</si>
  <si>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</si>
  <si>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</si>
  <si>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</si>
  <si>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</si>
  <si>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</si>
  <si>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</si>
  <si>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</si>
  <si>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</si>
  <si>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</si>
  <si>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</si>
  <si>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</si>
  <si>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</si>
  <si>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</si>
  <si>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</si>
  <si>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</si>
  <si>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</si>
  <si>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</si>
  <si>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</si>
  <si>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</si>
  <si>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</si>
  <si>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</si>
  <si>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</si>
  <si>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</si>
  <si>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</si>
  <si>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</si>
  <si>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</si>
  <si>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</si>
  <si>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</si>
  <si>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</si>
  <si>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</si>
  <si>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</si>
  <si>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</si>
  <si>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</si>
  <si>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</si>
  <si>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</si>
  <si>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</si>
  <si>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</si>
  <si>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</si>
  <si>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</si>
  <si>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</si>
  <si>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</si>
  <si>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</si>
  <si>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</si>
  <si>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</si>
  <si>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</si>
  <si>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</si>
  <si>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</si>
  <si>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</si>
  <si>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</si>
  <si>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</si>
  <si>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</si>
  <si>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</si>
  <si>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</si>
  <si>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</si>
  <si>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</si>
  <si>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</si>
  <si>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</si>
  <si>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</si>
  <si>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</si>
  <si>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</si>
  <si>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</si>
  <si>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</si>
  <si>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</si>
  <si>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</si>
  <si>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</si>
  <si>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</si>
  <si>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</si>
  <si>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</si>
  <si>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</si>
  <si>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</si>
  <si>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</si>
  <si>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</si>
  <si>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</si>
  <si>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</si>
  <si>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</si>
  <si>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</si>
  <si>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</si>
  <si>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</si>
  <si>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</si>
  <si>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</si>
  <si>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</si>
  <si>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</si>
  <si>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</si>
  <si>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</si>
  <si>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</si>
  <si>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</si>
  <si>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</si>
  <si>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</si>
  <si>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</si>
  <si>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</si>
  <si>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</si>
  <si>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</si>
  <si>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</si>
  <si>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</si>
  <si>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</si>
  <si>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</si>
  <si>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</si>
  <si>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</si>
  <si>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 xml:space="preserve">REQ001 - Acceso </t>
  </si>
  <si>
    <t>REQ001-1 - Formulario sesión</t>
  </si>
  <si>
    <t>REQ001-2 - Registro en BD</t>
  </si>
  <si>
    <t xml:space="preserve">REQ001-3 - Confirmación registro </t>
  </si>
  <si>
    <t xml:space="preserve">REQ002 - Catálogo </t>
  </si>
  <si>
    <t>REQ002-1 - Añadir platillo</t>
  </si>
  <si>
    <t>REQ002-2 - Modificar platillo</t>
  </si>
  <si>
    <t>REQ002-3 - Eliminar platillo</t>
  </si>
  <si>
    <t>REQ002-4 - Consultar modificador</t>
  </si>
  <si>
    <t xml:space="preserve">REQ003 - Mesas </t>
  </si>
  <si>
    <t>REQ003-1 - Interfaz de mesas</t>
  </si>
  <si>
    <t>REQ003-2 - Seleccionar mesas</t>
  </si>
  <si>
    <t>REQ003-3 - Confirmar selección</t>
  </si>
  <si>
    <t>REQ003-4 - Consultar disponibilidad</t>
  </si>
  <si>
    <t>Bryan Ortiz</t>
  </si>
  <si>
    <t xml:space="preserve">Camila Paredes </t>
  </si>
  <si>
    <t>Cristian Pincha</t>
  </si>
  <si>
    <t>Cristian Pincha-Camila Paredes.</t>
  </si>
  <si>
    <t>v</t>
  </si>
  <si>
    <t>Crear un formulario para iniciar sesión</t>
  </si>
  <si>
    <t xml:space="preserve">Registro de cuentas en la base de datos </t>
  </si>
  <si>
    <t>Registrar cuentas en la base de datos</t>
  </si>
  <si>
    <t>Confirmar el registro de cuentas</t>
  </si>
  <si>
    <t>Definir las tareas del requisito</t>
  </si>
  <si>
    <t>Crear formulario para añadir el o los platillos</t>
  </si>
  <si>
    <t>Opcion para modificar el o los platillos</t>
  </si>
  <si>
    <t>Opcion para eliminar el o los platillos</t>
  </si>
  <si>
    <t>Consultar la modificación para el personal</t>
  </si>
  <si>
    <t>Crear interfaz para mostrar número de mesas</t>
  </si>
  <si>
    <t>Seleccionar número de mesas a ocupar</t>
  </si>
  <si>
    <t>Confirmar selección de mesas</t>
  </si>
  <si>
    <t>Consultar disponibilidad de mesas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</si>
</sst>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0" fillId="18" borderId="37" xfId="0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topLeftCell="M1" zoomScale="110" zoomScaleNormal="110" workbookViewId="0">
      <pane ySplit="4" topLeftCell="A5" activePane="bottomLeft" state="frozen"/>
      <selection pane="bottomLeft" activeCell="U4" sqref="U4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2" t="str">
        <f>Configura!$B$2</f>
        <v xml:space="preserve">                Tablero KANBAN v3 ©️            </v>
      </c>
      <c r="C2" s="112"/>
      <c r="D2" s="112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1" t="str" cm="1">
        <f t="array" aca="1" ref="C4" ca="1">IFERROR(INDEX(Configura!$B$9:$B$18,B4)&amp;" ("&amp;SUMIF(misEstados,B4,misFiltros)&amp;" de "&amp;SUM(misFiltros)&amp;")","")</f>
        <v>POR HACER (0 de 15)</v>
      </c>
      <c r="D4" s="111"/>
      <c r="E4" s="111"/>
      <c r="F4" s="9" t="s">
        <v>0</v>
      </c>
      <c r="G4" s="25">
        <f>B4+1</f>
        <v>2</v>
      </c>
      <c r="H4" s="111" t="str" cm="1">
        <f t="array" aca="1" ref="H4" ca="1">IFERROR(INDEX(Configura!$B$9:$B$18,G4)&amp;" ("&amp;SUMIF(misEstados,G4,misFiltros)&amp;" de "&amp;SUM(misFiltros)&amp;")","")</f>
        <v>EN PROGRESO (0 de 15)</v>
      </c>
      <c r="I4" s="111"/>
      <c r="J4" s="111"/>
      <c r="K4" s="9" t="s">
        <v>0</v>
      </c>
      <c r="L4" s="25">
        <f>G4+1</f>
        <v>3</v>
      </c>
      <c r="M4" s="111" t="str" cm="1">
        <f t="array" aca="1" ref="M4" ca="1">IFERROR(INDEX(Configura!$B$9:$B$18,L4)&amp;" ("&amp;SUMIF(misEstados,L4,misFiltros)&amp;" de "&amp;SUM(misFiltros)&amp;")","")</f>
        <v>EN ESPERA (0 de 15)</v>
      </c>
      <c r="N4" s="111"/>
      <c r="O4" s="111"/>
      <c r="P4" s="9" t="s">
        <v>0</v>
      </c>
      <c r="Q4" s="25">
        <f>L4+1</f>
        <v>4</v>
      </c>
      <c r="R4" s="111" t="str" cm="1">
        <f t="array" aca="1" ref="R4" ca="1">IFERROR(INDEX(Configura!$B$9:$B$18,Q4)&amp;" ("&amp;SUMIF(misEstados,Q4,misFiltros)&amp;" de "&amp;SUM(misFiltros)&amp;")","")</f>
        <v>COMPLETADO (15 de 15)</v>
      </c>
      <c r="S4" s="111"/>
      <c r="T4" s="111"/>
      <c r="U4" s="9" t="s">
        <v>237</v>
      </c>
      <c r="V4" s="25">
        <f>Q4+1</f>
        <v>5</v>
      </c>
      <c r="W4" s="111" t="str" cm="1">
        <f t="array" aca="1" ref="W4" ca="1">IFERROR(INDEX(Configura!$B$9:$B$18,V4)&amp;" ("&amp;SUMIF(misEstados,V4,misFiltros)&amp;" de "&amp;SUM(misFiltros)&amp;")","")</f>
        <v>ARCHIVADO (0 de 15)</v>
      </c>
      <c r="X4" s="111"/>
      <c r="Y4" s="111"/>
      <c r="Z4" s="10" t="s">
        <v>0</v>
      </c>
      <c r="AA4" s="25">
        <f>V4+1</f>
        <v>6</v>
      </c>
      <c r="AB4" s="111" t="str" cm="1">
        <f t="array" aca="1" ref="AB4" ca="1">IFERROR(INDEX(Configura!$B$9:$B$18,AA4)&amp;" ("&amp;SUMIF(misEstados,AA4,misFiltros)&amp;" de "&amp;SUM(misFiltros)&amp;")","")</f>
        <v>POR HACER (0 de 15)</v>
      </c>
      <c r="AC4" s="111"/>
      <c r="AD4" s="111"/>
      <c r="AE4" s="10" t="s">
        <v>0</v>
      </c>
      <c r="AF4" s="25">
        <f>AA4+1</f>
        <v>7</v>
      </c>
      <c r="AG4" s="111" t="str" cm="1">
        <f t="array" aca="1" ref="AG4" ca="1">IFERROR(INDEX(Configura!$B$9:$B$18,AF4)&amp;" ("&amp;SUMIF(misEstados,AF4,misFiltros)&amp;" de "&amp;SUM(misFiltros)&amp;")","")</f>
        <v>EN PROGRESO (0 de 15)</v>
      </c>
      <c r="AH4" s="111"/>
      <c r="AI4" s="111"/>
      <c r="AJ4" s="10" t="s">
        <v>0</v>
      </c>
      <c r="AK4" s="25">
        <f>AF4+1</f>
        <v>8</v>
      </c>
      <c r="AL4" s="111" t="str" cm="1">
        <f t="array" aca="1" ref="AL4" ca="1">IFERROR(INDEX(Configura!$B$9:$B$18,AK4)&amp;" ("&amp;SUMIF(misEstados,AK4,misFiltros)&amp;" de "&amp;SUM(misFiltros)&amp;")","")</f>
        <v xml:space="preserve"> (0 de 15)</v>
      </c>
      <c r="AM4" s="111"/>
      <c r="AN4" s="111"/>
      <c r="AO4" s="10" t="s">
        <v>0</v>
      </c>
      <c r="AP4" s="25">
        <f>AK4+1</f>
        <v>9</v>
      </c>
      <c r="AQ4" s="111" t="str" cm="1">
        <f t="array" aca="1" ref="AQ4" ca="1">IFERROR(INDEX(Configura!$B$9:$B$18,AP4)&amp;" ("&amp;SUMIF(misEstados,AP4,misFiltros)&amp;" de "&amp;SUM(misFiltros)&amp;")","")</f>
        <v xml:space="preserve"> (0 de 15)</v>
      </c>
      <c r="AR4" s="111"/>
      <c r="AS4" s="111"/>
      <c r="AT4" s="10" t="s">
        <v>0</v>
      </c>
      <c r="AU4" s="25">
        <f>AP4+1</f>
        <v>10</v>
      </c>
      <c r="AV4" s="111" t="str" cm="1">
        <f t="array" aca="1" ref="AV4" ca="1">IFERROR(INDEX(Configura!$B$9:$B$18,AU4)&amp;" ("&amp;SUMIF(misEstados,AU4,misFiltros)&amp;" de "&amp;SUM(misFiltros)&amp;")","")</f>
        <v xml:space="preserve"> (0 de 15)</v>
      </c>
      <c r="AW4" s="111"/>
      <c r="AX4" s="111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9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9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9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9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9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9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1:</v>
      </c>
      <c r="S6" s="109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REQ001 - Acceso </v>
      </c>
      <c r="T6" s="109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9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9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9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9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9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9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9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9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9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9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9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9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9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9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9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9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9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9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9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Crear un formulario para iniciar sesión</v>
      </c>
      <c r="T7" s="109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9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9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9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9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9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9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9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9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9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9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9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9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9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9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9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9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9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9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9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45086</v>
      </c>
      <c r="T8" s="109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9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9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9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9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9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9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9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9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9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9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9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9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9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9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9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9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9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9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9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45086</v>
      </c>
      <c r="T9" s="109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9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9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9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9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9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9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9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9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9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9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9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9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9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9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9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9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9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9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9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45086</v>
      </c>
      <c r="T10" s="109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9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9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9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9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9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9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9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9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9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9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9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9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9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9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9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9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9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9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9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9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9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9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9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9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9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9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9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9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9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9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9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9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9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9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9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9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9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9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9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9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9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9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9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9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9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9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9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9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9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9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9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9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9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9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9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9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9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9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9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Bryan Ortiz</v>
      </c>
      <c r="T13" s="109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9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9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9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9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9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9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9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9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9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9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9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9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9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9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9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9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9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9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9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9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9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9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9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9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9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9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9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9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9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9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9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9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9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9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9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9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9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9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2:</v>
      </c>
      <c r="S15" s="109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REQ001-1 - Formulario sesión</v>
      </c>
      <c r="T15" s="109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9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9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9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9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9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9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9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9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9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9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9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9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9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9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9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9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9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9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9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Registro de cuentas en la base de datos </v>
      </c>
      <c r="T16" s="109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9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9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9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9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9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9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9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9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9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9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9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9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9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9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9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9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9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9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9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45086</v>
      </c>
      <c r="T17" s="109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9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9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9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9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9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9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9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9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9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9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9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9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9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9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9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9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9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9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9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09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9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9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9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9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9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9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9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9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9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9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9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9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9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9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9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9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9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9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9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09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9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9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9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9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9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9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9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9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9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9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9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9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9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9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9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9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9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9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9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9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9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9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9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9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9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9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9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9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9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9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9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9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9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9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9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9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9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9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9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9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9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9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9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9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9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9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9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9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9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9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9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9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9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9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9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9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9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9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9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Bryan Ortiz</v>
      </c>
      <c r="T22" s="109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9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9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9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9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9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9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9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9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9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9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9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9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9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9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9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9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9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9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9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9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9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9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9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9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9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9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9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9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9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9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9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9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9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9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9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9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9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9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3:</v>
      </c>
      <c r="S24" s="109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REQ001-2 - Registro en BD</v>
      </c>
      <c r="T24" s="109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9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9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9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9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9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9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9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9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9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9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9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9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9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9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9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9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9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9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9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Registrar cuentas en la base de datos</v>
      </c>
      <c r="T25" s="109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9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9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9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9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9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9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9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9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9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9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9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9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9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9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9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9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9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9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9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45087</v>
      </c>
      <c r="T26" s="109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9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9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9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9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9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9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9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9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9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9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9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9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9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9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9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9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9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9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9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45087</v>
      </c>
      <c r="T27" s="109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9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9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9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9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9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9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9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9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9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9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9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9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9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9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9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9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9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9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9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45087</v>
      </c>
      <c r="T28" s="109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9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9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9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9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9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9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9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9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9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9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9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9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9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9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9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9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9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9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9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9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9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9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9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9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9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9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9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9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9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9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9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9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9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9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9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9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9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9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9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9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9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9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9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9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9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9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9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9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9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9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9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9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9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9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9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9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9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9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9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Bryan Ortiz</v>
      </c>
      <c r="T31" s="109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9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9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9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9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9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9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9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9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9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9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9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9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9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9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9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9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9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9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9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9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9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9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9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9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9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9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9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9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9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9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9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9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9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9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9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9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9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9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4:</v>
      </c>
      <c r="S33" s="109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REQ001-3 - Confirmación registro </v>
      </c>
      <c r="T33" s="109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9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9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9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9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9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9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9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9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9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9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9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9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9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9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9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9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9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9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9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Confirmar el registro de cuentas</v>
      </c>
      <c r="T34" s="109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9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9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9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9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9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9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9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9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9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9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9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9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9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9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9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9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9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9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9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45087</v>
      </c>
      <c r="T35" s="109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9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9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9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9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9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9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9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9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9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9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9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9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9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9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9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9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9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9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9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45087</v>
      </c>
      <c r="T36" s="109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9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9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9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9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9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9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9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9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9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9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9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9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9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9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9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9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9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9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9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45087</v>
      </c>
      <c r="T37" s="109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9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9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9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9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9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9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9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9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9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9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9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9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9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9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9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9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9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9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9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9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9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9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9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9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9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9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9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9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9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9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9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9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9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9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9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9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9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9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9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9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9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9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9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9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9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9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9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9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9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9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9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9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9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9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9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9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9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9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9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Bryan Ortiz</v>
      </c>
      <c r="T40" s="109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9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9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9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9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9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9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9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9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9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9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9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9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9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9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9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9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9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9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9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9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9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9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9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9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9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9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9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9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9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9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9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9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9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9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9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9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9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9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5:</v>
      </c>
      <c r="S42" s="109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REQ002 - Catálogo </v>
      </c>
      <c r="T42" s="109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9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9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9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9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9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9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9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9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9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9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9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9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9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9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9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9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9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9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9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Definir las tareas del requisito</v>
      </c>
      <c r="T43" s="109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9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9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9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9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9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9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9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9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9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9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9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9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9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9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9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9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9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9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9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45088</v>
      </c>
      <c r="T44" s="109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9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9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9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9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9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9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9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9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9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9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9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9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9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9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9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9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9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9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9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45088</v>
      </c>
      <c r="T45" s="109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9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9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9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9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9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9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9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9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9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9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9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9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9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9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9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9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9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9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9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45088</v>
      </c>
      <c r="T46" s="109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9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9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9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9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9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9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9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9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9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9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9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9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9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9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9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9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9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9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9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9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9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9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9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9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9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9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9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9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9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9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9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9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9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9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9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9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9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9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9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9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9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9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9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9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9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9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9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9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9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9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9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9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9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9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9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9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9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9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9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 xml:space="preserve">Camila Paredes </v>
      </c>
      <c r="T49" s="109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9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9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9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9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9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9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9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9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9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9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9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9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9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9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9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9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9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9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9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9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9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9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9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9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9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9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9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9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9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9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9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9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9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9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9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9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9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9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6:</v>
      </c>
      <c r="S51" s="109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REQ002-1 - Añadir platillo</v>
      </c>
      <c r="T51" s="109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9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9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9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9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9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9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9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9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9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9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9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9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9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9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9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9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9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9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9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Crear formulario para añadir el o los platillos</v>
      </c>
      <c r="T52" s="109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9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9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9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9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9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9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9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9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9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9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9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9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9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9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9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9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9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9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9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45088</v>
      </c>
      <c r="T53" s="109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9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9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9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9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9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9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9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9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9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9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9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9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9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9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9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9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9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9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9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45088</v>
      </c>
      <c r="T54" s="109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9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9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9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9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9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9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9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9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9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9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9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9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9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9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9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9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9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9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9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45088</v>
      </c>
      <c r="T55" s="109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9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9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9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9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9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9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9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9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9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9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9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9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9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9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9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9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9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9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9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9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9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9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9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9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9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9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9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9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9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9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9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9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9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9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9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9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9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9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9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9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9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9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9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9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9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9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9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9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9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9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9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9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9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9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9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9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9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9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9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 xml:space="preserve">Camila Paredes </v>
      </c>
      <c r="T58" s="109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9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9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9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9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9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9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9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9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9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9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9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9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9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9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9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9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9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9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9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9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9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9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9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9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9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9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9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9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9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9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9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9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9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9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9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9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9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9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7:</v>
      </c>
      <c r="S60" s="109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REQ002-2 - Modificar platillo</v>
      </c>
      <c r="T60" s="109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9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9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9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9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9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9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9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9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9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9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9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9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9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9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9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9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9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9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9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Opcion para modificar el o los platillos</v>
      </c>
      <c r="T61" s="109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9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9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9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9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9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9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9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9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9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9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9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9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9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9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9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9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9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9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9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45089</v>
      </c>
      <c r="T62" s="109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9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9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9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9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9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9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9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9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9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9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9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9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9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9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9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9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9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9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9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45089</v>
      </c>
      <c r="T63" s="109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9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9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9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9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9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9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9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9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9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9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9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9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9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9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9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9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9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9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9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45089</v>
      </c>
      <c r="T64" s="109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9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9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9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9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9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9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9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9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9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9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9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9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9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9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9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9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9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9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9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9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9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9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9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9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9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9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9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9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9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9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9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9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9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9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9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9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9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9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9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9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9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9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9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9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9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9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9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9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9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9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9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9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9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9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9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9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9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9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9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 xml:space="preserve">Camila Paredes </v>
      </c>
      <c r="T67" s="109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9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9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9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9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9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9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9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9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9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9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9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9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9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9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9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9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9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9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9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9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9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9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9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9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9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9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9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9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9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9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9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9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9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9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9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9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9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9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09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REQ002-3 - Eliminar platillo</v>
      </c>
      <c r="T69" s="109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9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9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9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9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9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9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9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9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9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9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9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9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9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9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9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9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9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9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9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Opcion para eliminar el o los platillos</v>
      </c>
      <c r="T70" s="109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9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9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9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9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9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9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9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9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9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9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9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9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9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9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9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9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9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9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9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45089</v>
      </c>
      <c r="T71" s="109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9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9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9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9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9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9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9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9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9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9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9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9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9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9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9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9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9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9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9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45089</v>
      </c>
      <c r="T72" s="109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9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9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9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9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9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9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9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9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9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9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9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9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9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9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9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9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9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9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9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45089</v>
      </c>
      <c r="T73" s="109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9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9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9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9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9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9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9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9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9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9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9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9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9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9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9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9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9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9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9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9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9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9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9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9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9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9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9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9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9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9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9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9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9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9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9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9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9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9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9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9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9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9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9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9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9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9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9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9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9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9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9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9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9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9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9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9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9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9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9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 xml:space="preserve">Camila Paredes </v>
      </c>
      <c r="T76" s="109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9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9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9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9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9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9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9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9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9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9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9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9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9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9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9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9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9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9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9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9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9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9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9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9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9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9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9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9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9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9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9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9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9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9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9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9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9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9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9:</v>
      </c>
      <c r="S78" s="109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REQ002-4 - Consultar modificador</v>
      </c>
      <c r="T78" s="109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9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9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9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9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9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9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9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9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9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9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9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9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9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9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9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9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9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9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9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Consultar la modificación para el personal</v>
      </c>
      <c r="T79" s="109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9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9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9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9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9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9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9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9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9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9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9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9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9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9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9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9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9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9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9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45090</v>
      </c>
      <c r="T80" s="109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9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9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9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9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9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9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9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9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9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9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9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9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9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9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9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9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9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9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9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45090</v>
      </c>
      <c r="T81" s="109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9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9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9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9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9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9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9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9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9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9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9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9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9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9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9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9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9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9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9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45090</v>
      </c>
      <c r="T82" s="109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9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9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9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9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9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9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9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9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9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9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9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9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9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9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9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9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9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9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9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9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9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9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9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9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9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9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9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9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9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9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9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9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9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9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9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9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9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9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9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9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9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9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9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9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9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9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9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9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9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9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9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9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9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9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9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9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9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9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9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 xml:space="preserve">Camila Paredes </v>
      </c>
      <c r="T85" s="109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9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9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9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9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9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9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9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9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9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9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9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9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9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9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9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9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9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9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9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9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9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9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9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9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9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9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9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9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9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9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9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9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9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9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9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9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9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9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10:</v>
      </c>
      <c r="S87" s="109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REQ003 - Mesas </v>
      </c>
      <c r="T87" s="109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9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9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9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9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9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9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9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9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9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9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9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9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9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9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9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9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9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9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9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Definir las tareas del requisito</v>
      </c>
      <c r="T88" s="109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9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9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9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9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9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9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9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9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9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9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9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9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9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9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9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9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9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9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9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45094</v>
      </c>
      <c r="T89" s="109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9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9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9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9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9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9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9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9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9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9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9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9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9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9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9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9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9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9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9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45094</v>
      </c>
      <c r="T90" s="109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9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9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9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9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9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9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9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9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9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9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9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9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9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9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9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9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9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9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9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45094</v>
      </c>
      <c r="T91" s="109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9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9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9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9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9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9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9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9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9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9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9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9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9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9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9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9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9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9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9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9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9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9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9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9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9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9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9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9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9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9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9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9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9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9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9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9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9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9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9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9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9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9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9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9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9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9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9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9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9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9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9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9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9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9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9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9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9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9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9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Cristian Pincha</v>
      </c>
      <c r="T94" s="109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9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9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9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9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9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9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9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9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9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9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9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9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9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9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9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9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9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9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9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9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9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9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9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9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9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9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9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9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9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9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9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9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9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9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9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9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9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9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11:</v>
      </c>
      <c r="S96" s="109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REQ003-1 - Interfaz de mesas</v>
      </c>
      <c r="T96" s="109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9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9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9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9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9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9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9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9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9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9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9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9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9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9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9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9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9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9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9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Crear interfaz para mostrar número de mesas</v>
      </c>
      <c r="T97" s="109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9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9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9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9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9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9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9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9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9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9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9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9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9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9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9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9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9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9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9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45094</v>
      </c>
      <c r="T98" s="109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9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9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9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9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9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9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9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9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9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9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9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9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9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9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9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9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9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9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9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45094</v>
      </c>
      <c r="T99" s="109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9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9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9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9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9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9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9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9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9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9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9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9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9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9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9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9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9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9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9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45094</v>
      </c>
      <c r="T100" s="109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9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9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9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9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9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9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9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9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9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9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9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9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9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9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9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9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9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9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9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9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9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9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9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9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9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9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9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9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9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9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9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9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9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9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9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9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9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9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9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9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9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9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9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9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9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9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9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9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9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9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9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9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9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9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9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9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9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9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9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Cristian Pincha</v>
      </c>
      <c r="T103" s="109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9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9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9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9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9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9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9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9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9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9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9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9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9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9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9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9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9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9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9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9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9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9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9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9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9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9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9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9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9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9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9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9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9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9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9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9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9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9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12:</v>
      </c>
      <c r="S105" s="109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REQ003-2 - Seleccionar mesas</v>
      </c>
      <c r="T105" s="109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9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9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9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9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9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9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9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9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9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9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9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9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9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9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9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9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9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9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9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Seleccionar número de mesas a ocupar</v>
      </c>
      <c r="T106" s="109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9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9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9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9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9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9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9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9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9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9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9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9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9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9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9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9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9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9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9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45094</v>
      </c>
      <c r="T107" s="109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9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9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9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9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9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9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9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9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9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9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9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9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9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9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9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9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9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9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9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45094</v>
      </c>
      <c r="T108" s="109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9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9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9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9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9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9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9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9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9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9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9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9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9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9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9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9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9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9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9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45094</v>
      </c>
      <c r="T109" s="109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9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9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9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9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9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9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9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9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9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9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9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9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9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9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9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9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9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9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9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 días</v>
      </c>
      <c r="T110" s="109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9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9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9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9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9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9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9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9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9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9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9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9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9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9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9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9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9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9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9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9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9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9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9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9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9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9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9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9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9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9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9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9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9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9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9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9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9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9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9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Cristian Pincha</v>
      </c>
      <c r="T112" s="109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9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9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9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9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9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9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9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9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9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9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9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9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9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9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9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9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9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9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9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9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9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9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9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9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9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9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9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9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9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9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9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9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9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9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9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9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9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9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13:</v>
      </c>
      <c r="S114" s="109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REQ003-3 - Confirmar selección</v>
      </c>
      <c r="T114" s="109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9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9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9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9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9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9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9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9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9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9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9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9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9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9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9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9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9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9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9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Confirmar selección de mesas</v>
      </c>
      <c r="T115" s="109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9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9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9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9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9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9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9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9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9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9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9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9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9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9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9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9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9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9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9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45095</v>
      </c>
      <c r="T116" s="109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9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9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9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9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9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9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9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9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9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9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9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9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9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9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9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9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9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9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9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45095</v>
      </c>
      <c r="T117" s="109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9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9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9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9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9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9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9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9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9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9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9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9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9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9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9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9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9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9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9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45095</v>
      </c>
      <c r="T118" s="109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9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9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9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9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9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9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9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9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9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9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9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9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9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9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9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9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9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9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9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9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9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9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9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9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9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9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9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9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9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9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9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9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9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9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9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9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9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9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9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9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9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9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9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9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9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9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9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9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9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9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9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9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9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9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9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9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9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9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9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Cristian Pincha</v>
      </c>
      <c r="T121" s="109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9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9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9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9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9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9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9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9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9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9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9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9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9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9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9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9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9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9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9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9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9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9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9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9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9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9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9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9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9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9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9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9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9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9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9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9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9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9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14:</v>
      </c>
      <c r="S123" s="109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REQ003-4 - Consultar disponibilidad</v>
      </c>
      <c r="T123" s="109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9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9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9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9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9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9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9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9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9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9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9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9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9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9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9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9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9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9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9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Consultar disponibilidad de mesas</v>
      </c>
      <c r="T124" s="109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9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9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9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9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9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9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9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9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9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9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9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9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9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9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9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9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9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9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9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45095</v>
      </c>
      <c r="T125" s="109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9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9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9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9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9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9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9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9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9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9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9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9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9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9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9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9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9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9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9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45095</v>
      </c>
      <c r="T126" s="109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9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9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9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9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9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9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9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9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9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9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9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9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9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9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9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9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9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9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9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45095</v>
      </c>
      <c r="T127" s="109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9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9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9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9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9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9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9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9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9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9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9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9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9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9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9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9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9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9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9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9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9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9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9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9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9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9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9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9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9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9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9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9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9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9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9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9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9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9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9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9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9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9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9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9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9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9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9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9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9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9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9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9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9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9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9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9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9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9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9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Cristian Pincha</v>
      </c>
      <c r="T130" s="109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9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9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9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9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9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9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9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9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9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9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9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9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9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9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9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9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9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9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9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9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9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9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9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9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9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9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9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9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9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9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9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9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9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9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9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9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9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9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84:</v>
      </c>
      <c r="S132" s="109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Resultados de las pruebas finales Stakeholder de desarrollo 
y de la organizaciòn</v>
      </c>
      <c r="T132" s="109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9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9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9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9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9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9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9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9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9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9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9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9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9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9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9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9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9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9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9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Realizar el Informe de Resultados de 
las pruebas finales </v>
      </c>
      <c r="T133" s="109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9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9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9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9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9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9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9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9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9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9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9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9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9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9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9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9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9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9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9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45687</v>
      </c>
      <c r="T134" s="109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9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9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9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9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9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9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9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9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9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9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9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9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9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9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9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9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9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9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9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45687</v>
      </c>
      <c r="T135" s="109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9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9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9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9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9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9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9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9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9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9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9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9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9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9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9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9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9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9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9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45687</v>
      </c>
      <c r="T136" s="109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9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9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9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9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9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9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9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9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9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9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9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9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9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9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9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9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9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9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9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9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9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9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9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9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9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9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9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9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9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9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9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9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9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9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9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9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9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9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9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9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9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9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9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9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9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9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9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9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9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9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9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9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9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9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9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9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9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9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9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Ruben Arroyo</v>
      </c>
      <c r="T139" s="109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9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9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9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9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9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9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9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9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9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9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9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9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9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9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9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9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9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9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9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9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9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9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9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9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9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9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9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9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9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9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9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9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9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9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9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9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9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9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9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9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9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9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9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9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9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9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9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9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9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9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9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9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9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9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9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9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9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9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9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9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9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9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9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9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9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9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9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9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9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9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9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9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9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9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9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9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9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9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9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9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9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9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9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9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9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9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9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9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9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9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9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9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9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9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9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9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9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9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9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9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9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9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9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9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9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9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9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9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9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9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9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9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9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9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9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9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9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9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9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9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9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9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9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9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9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9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9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9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9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9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9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9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9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9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9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9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9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9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9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9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9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9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9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9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9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9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9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9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9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9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9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9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9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9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9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9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9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9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9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9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9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9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9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9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9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9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9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9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9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9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9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9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9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9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9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9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9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9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9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9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9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9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9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9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9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9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9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9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9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9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9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9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9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9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9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9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9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9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9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9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9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9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9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9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9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9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9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9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9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9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9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9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9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9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9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9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9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9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9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9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9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9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9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9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9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9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9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9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9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9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9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9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9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9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9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9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9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9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9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9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9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9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9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9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9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9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9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9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9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9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9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9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9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9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9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9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9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9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9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9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9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9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9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9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9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9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9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9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9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9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9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9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9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9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9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9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9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9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9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9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9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9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9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9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9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9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9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9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9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9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9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9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9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9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9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9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9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9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9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9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9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9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9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9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9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9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9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9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9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9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9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9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9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9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9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9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9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9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9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9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9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9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9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9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9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9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9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9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9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9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9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9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9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9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9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9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9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9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9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9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9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9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9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9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9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9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9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9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9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9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9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9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9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9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9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9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9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9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9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9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9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9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9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9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9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9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9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9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9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9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9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9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9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9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9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9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9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9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9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9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9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9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9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9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9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9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9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9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9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9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9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9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9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9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9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9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9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9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9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9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9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9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9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9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9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9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9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9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9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9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9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9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9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9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9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9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9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9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9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9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9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9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9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9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9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9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9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9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9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9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9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9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9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9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9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9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9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9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9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9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9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9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9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9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9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9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9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9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9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9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9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9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9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9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9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9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9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9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9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9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9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9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9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9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9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9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9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9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9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9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9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9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9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9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9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9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9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9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9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9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9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9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9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9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9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9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9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9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9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9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9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9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9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9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9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9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9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9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9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9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9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9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9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9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9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9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9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9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9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9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9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9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9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9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9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9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9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9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9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9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9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9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9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9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9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9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9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9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9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9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9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9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9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9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9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9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9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9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9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9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9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9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9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9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9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9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9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9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9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9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9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9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9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9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9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9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9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9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9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9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9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9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9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9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9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9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9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9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9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9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9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9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9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9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9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9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9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9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9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9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9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9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9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9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9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9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9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9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9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9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9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9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9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9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9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9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9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9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9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9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9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9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9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9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9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9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9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9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9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9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9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9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9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9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9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9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9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9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9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9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9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9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9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9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9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9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9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9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9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9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9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9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9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9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9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9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9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9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9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9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9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9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9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9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9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9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9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9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9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9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9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9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9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9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9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9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9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9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9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9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9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9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9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9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9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9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9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9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9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9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9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9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9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9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9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9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9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9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9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9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9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9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9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9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9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9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9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9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9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9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9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9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9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9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9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9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9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9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9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9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9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9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9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9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9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9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9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9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9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9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9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9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9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9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9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9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9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9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9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9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9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9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9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9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9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9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9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9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9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9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9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9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9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9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9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9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9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9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9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9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9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9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9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9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9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9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9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9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9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9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9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9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9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9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9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9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9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9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9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9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9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9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9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9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9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9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9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9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9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9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9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9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9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9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9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9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9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9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9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9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9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9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9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9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9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9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9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9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9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9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9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9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9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9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9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9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9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9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9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9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9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9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9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9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9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9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9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9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9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9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9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9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9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9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9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9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9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9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9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9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9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9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9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9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9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9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9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9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9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9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9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9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9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9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9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9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9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9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9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9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9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9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9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9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9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9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9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9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9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9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9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9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9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9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9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9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9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9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9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9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9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9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9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9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9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9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9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9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9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9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9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9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9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9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9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9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9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9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9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9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9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9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9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9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9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9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9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9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9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9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9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9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9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9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9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9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9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9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9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9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9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9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9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9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9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9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9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9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9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9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9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9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9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9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9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9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9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9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9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9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9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9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9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9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9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9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9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9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9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9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9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9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9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9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9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9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9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9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9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9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9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9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9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9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9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9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9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9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9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9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9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9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9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9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9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9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9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9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9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9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9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9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9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9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9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9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9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9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9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9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9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9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9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9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9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9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9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9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9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9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9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9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9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9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9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9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9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9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9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9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9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9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9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9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9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9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9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9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9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9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9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9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9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9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9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9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9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9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9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9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9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9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9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9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9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9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9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9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9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9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9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9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9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9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9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9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9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9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9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9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9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9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9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9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9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9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9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9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9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9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9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9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9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9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9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9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9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9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9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9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9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9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9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9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9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9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9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9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9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9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9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9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9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9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9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9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9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9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9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9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9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9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9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9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9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9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9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9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9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9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9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9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9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9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9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9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9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9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9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9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9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9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9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9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9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9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9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9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9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9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9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9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9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9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9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9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9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9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9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9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9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9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9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9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9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9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9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9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9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9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9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9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9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9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9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9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9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9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9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9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9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9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9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9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9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9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9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9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9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9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9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9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9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9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9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9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9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9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9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9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9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9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9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9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9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9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9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9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9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9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9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9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9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9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9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9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9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9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9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9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9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9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9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9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9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9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9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9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9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9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9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9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9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9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9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9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9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9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9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9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9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9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9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9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9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9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9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9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9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9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9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9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9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9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9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9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9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9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9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9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9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9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9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9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9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9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9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9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9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9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9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9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9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9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9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9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9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9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9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9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9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9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0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0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0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0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0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0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0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0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0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0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0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0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0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0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0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0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0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0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0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0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82" zoomScaleNormal="122" workbookViewId="0">
      <pane ySplit="1" topLeftCell="A2" activePane="bottomLeft" state="frozen"/>
      <selection pane="bottomLeft" activeCell="I20" sqref="I20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6</v>
      </c>
      <c r="C2" s="101" t="s">
        <v>219</v>
      </c>
      <c r="D2" s="100" t="s">
        <v>238</v>
      </c>
      <c r="E2" s="127">
        <v>45086</v>
      </c>
      <c r="F2" s="133">
        <v>45086</v>
      </c>
      <c r="G2" s="133">
        <v>45086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233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6</v>
      </c>
      <c r="C3" s="3" t="s">
        <v>220</v>
      </c>
      <c r="D3" s="101" t="s">
        <v>239</v>
      </c>
      <c r="E3" s="128">
        <v>45086</v>
      </c>
      <c r="F3" s="131">
        <v>45086</v>
      </c>
      <c r="G3" s="131">
        <v>45086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233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6</v>
      </c>
      <c r="C4" s="92" t="s">
        <v>221</v>
      </c>
      <c r="D4" s="118" t="s">
        <v>240</v>
      </c>
      <c r="E4" s="127">
        <v>45087</v>
      </c>
      <c r="F4" s="130">
        <v>45087</v>
      </c>
      <c r="G4" s="130">
        <v>45087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233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6</v>
      </c>
      <c r="C5" s="3" t="s">
        <v>222</v>
      </c>
      <c r="D5" s="119" t="s">
        <v>241</v>
      </c>
      <c r="E5" s="127">
        <v>45087</v>
      </c>
      <c r="F5" s="130">
        <v>45087</v>
      </c>
      <c r="G5" s="130">
        <v>45087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5</v>
      </c>
      <c r="B6" s="92" t="s">
        <v>6</v>
      </c>
      <c r="C6" s="103" t="s">
        <v>223</v>
      </c>
      <c r="D6" s="122" t="s">
        <v>242</v>
      </c>
      <c r="E6" s="124">
        <v>45088</v>
      </c>
      <c r="F6" s="130">
        <v>45088</v>
      </c>
      <c r="G6" s="130">
        <v>45088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234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2" t="s">
        <v>224</v>
      </c>
      <c r="D7" s="121" t="s">
        <v>243</v>
      </c>
      <c r="E7" s="124">
        <v>45088</v>
      </c>
      <c r="F7" s="130">
        <v>45088</v>
      </c>
      <c r="G7" s="130">
        <v>45088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234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5</v>
      </c>
      <c r="B8" s="92" t="s">
        <v>6</v>
      </c>
      <c r="C8" s="105" t="s">
        <v>225</v>
      </c>
      <c r="D8" s="122" t="s">
        <v>244</v>
      </c>
      <c r="E8" s="129">
        <v>45089</v>
      </c>
      <c r="F8" s="130">
        <v>45089</v>
      </c>
      <c r="G8" s="134">
        <v>45089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6</v>
      </c>
      <c r="C9" s="102" t="s">
        <v>226</v>
      </c>
      <c r="D9" s="121" t="s">
        <v>245</v>
      </c>
      <c r="E9" s="129">
        <v>45089</v>
      </c>
      <c r="F9" s="130">
        <v>45089</v>
      </c>
      <c r="G9" s="134">
        <v>45089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 t="s">
        <v>6</v>
      </c>
      <c r="C10" s="103" t="s">
        <v>227</v>
      </c>
      <c r="D10" s="120" t="s">
        <v>246</v>
      </c>
      <c r="E10" s="124">
        <v>45090</v>
      </c>
      <c r="F10" s="130">
        <v>45090</v>
      </c>
      <c r="G10" s="130">
        <v>45090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234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6</v>
      </c>
      <c r="C11" s="102" t="s">
        <v>228</v>
      </c>
      <c r="D11" s="122" t="s">
        <v>242</v>
      </c>
      <c r="E11" s="126">
        <v>45094</v>
      </c>
      <c r="F11" s="132">
        <v>45094</v>
      </c>
      <c r="G11" s="132">
        <v>45094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235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6</v>
      </c>
      <c r="C12" s="103" t="s">
        <v>229</v>
      </c>
      <c r="D12" s="122" t="s">
        <v>247</v>
      </c>
      <c r="E12" s="126">
        <v>45094</v>
      </c>
      <c r="F12" s="132">
        <v>45094</v>
      </c>
      <c r="G12" s="132">
        <v>45094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235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6</v>
      </c>
      <c r="C13" s="104" t="s">
        <v>230</v>
      </c>
      <c r="D13" s="123" t="s">
        <v>248</v>
      </c>
      <c r="E13" s="125">
        <v>45094</v>
      </c>
      <c r="F13" s="131">
        <v>45094</v>
      </c>
      <c r="G13" s="131">
        <v>45094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235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5</v>
      </c>
      <c r="B14" s="92" t="s">
        <v>6</v>
      </c>
      <c r="C14" s="103" t="s">
        <v>231</v>
      </c>
      <c r="D14" s="122" t="s">
        <v>249</v>
      </c>
      <c r="E14" s="129">
        <v>45095</v>
      </c>
      <c r="F14" s="131">
        <v>45095</v>
      </c>
      <c r="G14" s="134">
        <v>45095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235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6</v>
      </c>
      <c r="C15" s="102" t="s">
        <v>232</v>
      </c>
      <c r="D15" s="122" t="s">
        <v>250</v>
      </c>
      <c r="E15" s="129">
        <v>45095</v>
      </c>
      <c r="F15" s="131">
        <v>45095</v>
      </c>
      <c r="G15" s="131">
        <v>45095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 x14ac:dyDescent="0.25">
      <c r="A16" s="91"/>
      <c r="B16" s="92"/>
      <c r="C16" s="108"/>
      <c r="D16" s="100"/>
      <c r="E16" s="106"/>
      <c r="F16" s="106"/>
      <c r="G16" s="106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2"/>
      <c r="D17" s="101"/>
      <c r="E17" s="107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5"/>
      <c r="D18" s="92"/>
      <c r="E18" s="106"/>
      <c r="F18" s="106"/>
      <c r="G18" s="106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2"/>
      <c r="D19" s="95"/>
      <c r="E19" s="107"/>
      <c r="F19" s="107"/>
      <c r="G19" s="107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5"/>
      <c r="D20" s="92"/>
      <c r="E20" s="106"/>
      <c r="F20" s="106"/>
      <c r="G20" s="106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4"/>
      <c r="D21" s="101"/>
      <c r="E21" s="107"/>
      <c r="F21" s="107"/>
      <c r="G21" s="107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5"/>
      <c r="D22" s="92"/>
      <c r="E22" s="106"/>
      <c r="F22" s="106"/>
      <c r="G22" s="106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2"/>
      <c r="D23" s="95"/>
      <c r="E23" s="107"/>
      <c r="F23" s="107"/>
      <c r="G23" s="107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5"/>
      <c r="D24" s="92"/>
      <c r="E24" s="106"/>
      <c r="F24" s="106"/>
      <c r="G24" s="106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2"/>
      <c r="D25" s="95"/>
      <c r="E25" s="107"/>
      <c r="F25" s="107"/>
      <c r="G25" s="107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5"/>
      <c r="D26" s="92"/>
      <c r="E26" s="106"/>
      <c r="F26" s="106"/>
      <c r="G26" s="106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2"/>
      <c r="D27" s="95"/>
      <c r="E27" s="107"/>
      <c r="F27" s="107"/>
      <c r="G27" s="107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5"/>
      <c r="D28" s="92"/>
      <c r="E28" s="106"/>
      <c r="F28" s="106"/>
      <c r="G28" s="106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2"/>
      <c r="D29" s="95"/>
      <c r="E29" s="107"/>
      <c r="F29" s="107"/>
      <c r="G29" s="107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5"/>
      <c r="D30" s="92"/>
      <c r="E30" s="106"/>
      <c r="F30" s="106"/>
      <c r="G30" s="106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2"/>
      <c r="D31" s="95"/>
      <c r="E31" s="107"/>
      <c r="F31" s="107"/>
      <c r="G31" s="107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5"/>
      <c r="D32" s="92"/>
      <c r="E32" s="106"/>
      <c r="F32" s="106"/>
      <c r="G32" s="106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2"/>
      <c r="D33" s="95"/>
      <c r="E33" s="107"/>
      <c r="F33" s="107"/>
      <c r="G33" s="107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5"/>
      <c r="D34" s="92"/>
      <c r="E34" s="106"/>
      <c r="F34" s="106"/>
      <c r="G34" s="106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2"/>
      <c r="D35" s="95"/>
      <c r="E35" s="107"/>
      <c r="F35" s="107"/>
      <c r="G35" s="107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5"/>
      <c r="D36" s="92"/>
      <c r="E36" s="106"/>
      <c r="F36" s="106"/>
      <c r="G36" s="106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2"/>
      <c r="D37" s="95"/>
      <c r="E37" s="107"/>
      <c r="F37" s="107"/>
      <c r="G37" s="107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5"/>
      <c r="D38" s="92"/>
      <c r="E38" s="106"/>
      <c r="F38" s="106"/>
      <c r="G38" s="106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2"/>
      <c r="D39" s="95"/>
      <c r="E39" s="107"/>
      <c r="F39" s="107"/>
      <c r="G39" s="107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5"/>
      <c r="D40" s="92"/>
      <c r="E40" s="106"/>
      <c r="F40" s="106"/>
      <c r="G40" s="106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2"/>
      <c r="D41" s="95"/>
      <c r="E41" s="107"/>
      <c r="F41" s="107"/>
      <c r="G41" s="107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5"/>
      <c r="D42" s="92"/>
      <c r="E42" s="106"/>
      <c r="F42" s="106"/>
      <c r="G42" s="106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1" t="s">
        <v>10</v>
      </c>
      <c r="D85" s="101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7"/>
      <c r="B101" s="98"/>
      <c r="C101" s="98"/>
      <c r="D101" s="98"/>
      <c r="E101" s="99"/>
      <c r="F101" s="99"/>
      <c r="G101" s="99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8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1:E101 G61:G101 F61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A61:A101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B61:B101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J61:J101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9" sqref="F9:F1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2" t="str">
        <f>"                " &amp; Idiomas!$A$2 &amp; " v3 ©️            "</f>
        <v xml:space="preserve">                Tablero KANBAN v3 ©️            </v>
      </c>
      <c r="C2" s="112"/>
      <c r="E2" s="7" t="s">
        <v>12</v>
      </c>
      <c r="F2" s="116" t="str">
        <f>Idiomas!$A$2 &amp; " | #ExcelPedroWave"</f>
        <v>Tablero KANBAN | #ExcelPedroWave</v>
      </c>
      <c r="G2" s="116"/>
      <c r="H2" s="116"/>
    </row>
    <row r="3" spans="2:9" ht="15" customHeight="1" x14ac:dyDescent="0.25">
      <c r="E3" s="8" t="s">
        <v>13</v>
      </c>
      <c r="F3" s="116" t="s">
        <v>14</v>
      </c>
      <c r="G3" s="116"/>
      <c r="H3" s="116"/>
    </row>
    <row r="4" spans="2:9" x14ac:dyDescent="0.25">
      <c r="B4" s="89" t="str">
        <f>Idiomas!$A$3</f>
        <v>Idioma</v>
      </c>
      <c r="E4" s="8" t="s">
        <v>15</v>
      </c>
      <c r="F4" s="117" t="s">
        <v>16</v>
      </c>
      <c r="G4" s="117"/>
      <c r="H4" s="117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233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234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235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236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3" t="s">
        <v>21</v>
      </c>
      <c r="C23" s="114"/>
      <c r="D23" s="115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R-6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R-6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R6:R13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R15:R22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R-24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R-24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R24:R31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R-33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R-33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R33:R40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R-42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R-42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R42:R49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R-51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R-51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R51:R58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R-60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R-60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R60:R67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R-78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R-78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R78:R85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R-87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R-87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R87:R94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R-96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R-96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R96:R103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R-105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R-105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R105:R112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R-114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R-114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R114:R121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R-123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R-123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R123:R130</v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R-132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R-132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R132:R139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v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2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2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2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2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2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5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5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5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5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5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5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5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5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5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6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6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6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6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6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6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6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6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6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7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7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7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7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7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7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7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7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7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10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10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10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10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10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10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10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10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10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11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11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11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11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11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11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11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11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11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12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12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12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12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12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12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12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12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12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84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84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84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84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84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84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84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84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84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BRYAN ALEXANDER CEVALLOS ORTEGA</cp:lastModifiedBy>
  <cp:revision>0</cp:revision>
  <dcterms:created xsi:type="dcterms:W3CDTF">2022-12-26T11:27:14Z</dcterms:created>
  <dcterms:modified xsi:type="dcterms:W3CDTF">2026-01-28T06:34:40Z</dcterms:modified>
  <cp:category/>
  <cp:contentStatus/>
</cp:coreProperties>
</file>