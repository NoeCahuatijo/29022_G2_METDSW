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8_{79338F1D-FA77-4DC2-BF9C-7E5B37A3741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3" l="1"/>
  <c r="C21" i="3" l="1"/>
  <c r="C20" i="3"/>
  <c r="D20" i="3" l="1"/>
  <c r="E20" i="3" s="1"/>
  <c r="F20" i="3" s="1"/>
  <c r="G20" i="3" s="1"/>
  <c r="H20" i="3" s="1"/>
  <c r="D21" i="3"/>
  <c r="E21" i="3" s="1"/>
  <c r="F21" i="3" s="1"/>
  <c r="G21" i="3" s="1"/>
  <c r="H21" i="3" s="1"/>
  <c r="I21" i="3" l="1"/>
</calcChain>
</file>

<file path=xl/sharedStrings.xml><?xml version="1.0" encoding="utf-8"?>
<sst xmlns="http://schemas.openxmlformats.org/spreadsheetml/2006/main" count="275" uniqueCount="131">
  <si>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</si>
  <si>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</si>
  <si>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</si>
  <si>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</si>
  <si>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</si>
  <si>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</si>
  <si>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</si>
  <si>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</si>
  <si>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</si>
  <si>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</si>
  <si>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</si>
  <si>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</si>
  <si>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</si>
  <si>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</si>
  <si>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</si>
  <si>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</si>
  <si>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</si>
  <si>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</si>
  <si>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</si>
  <si>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</si>
  <si>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</si>
  <si>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</si>
  <si>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</si>
  <si>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</si>
  <si>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</si>
  <si>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</si>
  <si>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Finalizado</t>
  </si>
  <si>
    <t xml:space="preserve">Finalizado </t>
  </si>
  <si>
    <t>Administrador</t>
  </si>
  <si>
    <t>SPRINT 1</t>
  </si>
  <si>
    <t>REQ002</t>
  </si>
  <si>
    <t>REQ003</t>
  </si>
  <si>
    <t>REQ004</t>
  </si>
  <si>
    <t>REQ005</t>
  </si>
  <si>
    <t>REQ006</t>
  </si>
  <si>
    <t>REQ007</t>
  </si>
  <si>
    <t>SPRINT 2</t>
  </si>
  <si>
    <t>Inicio de sesión seguro</t>
  </si>
  <si>
    <t>Admin / Vendedor</t>
  </si>
  <si>
    <t>Ingreso de productos</t>
  </si>
  <si>
    <t>Categorización</t>
  </si>
  <si>
    <t>Catálogo y Estados</t>
  </si>
  <si>
    <r>
      <t>Validar</t>
    </r>
    <r>
      <rPr>
        <sz val="11"/>
        <color theme="4"/>
        <rFont val="Arial"/>
        <family val="2"/>
      </rPr>
      <t xml:space="preserve"> las credenciales mediante un sistema de autenticación seguro</t>
    </r>
  </si>
  <si>
    <r>
      <t>Garantizar</t>
    </r>
    <r>
      <rPr>
        <sz val="11"/>
        <color theme="4"/>
        <rFont val="Arial"/>
        <family val="2"/>
      </rPr>
      <t xml:space="preserve"> el acceso controlado solo a usuarios autorizados.</t>
    </r>
  </si>
  <si>
    <r>
      <t>Registrar</t>
    </r>
    <r>
      <rPr>
        <sz val="11"/>
        <color theme="4"/>
        <rFont val="Arial"/>
        <family val="2"/>
      </rPr>
      <t xml:space="preserve"> y </t>
    </r>
    <r>
      <rPr>
        <b/>
        <sz val="11"/>
        <color theme="4"/>
        <rFont val="Arial"/>
        <family val="2"/>
      </rPr>
      <t>editar</t>
    </r>
    <r>
      <rPr>
        <sz val="11"/>
        <color theme="4"/>
        <rFont val="Arial"/>
        <family val="2"/>
      </rPr>
      <t xml:space="preserve"> productos validando el SKU único y costos</t>
    </r>
  </si>
  <si>
    <r>
      <t>Mantener</t>
    </r>
    <r>
      <rPr>
        <sz val="11"/>
        <color theme="4"/>
        <rFont val="Arial"/>
        <family val="2"/>
      </rPr>
      <t xml:space="preserve"> una ficha técnica completa y evitar duplicidad de datos.</t>
    </r>
  </si>
  <si>
    <r>
      <t>Clasificar</t>
    </r>
    <r>
      <rPr>
        <sz val="11"/>
        <color theme="4"/>
        <rFont val="Arial"/>
        <family val="2"/>
      </rPr>
      <t xml:space="preserve"> los repuestos por familias o categorías lógicas</t>
    </r>
  </si>
  <si>
    <r>
      <t>Agilizar</t>
    </r>
    <r>
      <rPr>
        <sz val="11"/>
        <color theme="4"/>
        <rFont val="Arial"/>
        <family val="2"/>
      </rPr>
      <t xml:space="preserve"> la búsqueda de piezas y organizar el inventario eficientemente.</t>
    </r>
  </si>
  <si>
    <r>
      <t>Gestionar</t>
    </r>
    <r>
      <rPr>
        <sz val="11"/>
        <color theme="4"/>
        <rFont val="Arial"/>
        <family val="2"/>
      </rPr>
      <t xml:space="preserve"> los estados (activo/inactivo) y la búsqueda por SKU</t>
    </r>
  </si>
  <si>
    <r>
      <t>Controlar</t>
    </r>
    <r>
      <rPr>
        <sz val="11"/>
        <color theme="4"/>
        <rFont val="Arial"/>
        <family val="2"/>
      </rPr>
      <t xml:space="preserve"> la visibilidad de los productos sin eliminar registros históricos.</t>
    </r>
  </si>
  <si>
    <t>SPRINT 3</t>
  </si>
  <si>
    <t>SPRINT 4</t>
  </si>
  <si>
    <t>Motivos de salida</t>
  </si>
  <si>
    <t>Historial (Kardex)</t>
  </si>
  <si>
    <t>Gestión de Usuarios</t>
  </si>
  <si>
    <t>REQ008</t>
  </si>
  <si>
    <t>Directorio Proveedores</t>
  </si>
  <si>
    <r>
      <t>Especificar</t>
    </r>
    <r>
      <rPr>
        <sz val="11"/>
        <color theme="4"/>
        <rFont val="Arial"/>
        <family val="2"/>
      </rPr>
      <t xml:space="preserve"> motivos de salida (venta, merma, daño) en el inventario</t>
    </r>
  </si>
  <si>
    <r>
      <t>Identificar</t>
    </r>
    <r>
      <rPr>
        <sz val="11"/>
        <color theme="4"/>
        <rFont val="Arial"/>
        <family val="2"/>
      </rPr>
      <t xml:space="preserve"> las causas exactas de la disminución de mercadería.</t>
    </r>
  </si>
  <si>
    <r>
      <t>Visualizar</t>
    </r>
    <r>
      <rPr>
        <sz val="11"/>
        <color theme="4"/>
        <rFont val="Arial"/>
        <family val="2"/>
      </rPr>
      <t xml:space="preserve"> el historial de movimientos en una tabla automática y filtrable</t>
    </r>
  </si>
  <si>
    <r>
      <t>Garantizar</t>
    </r>
    <r>
      <rPr>
        <sz val="11"/>
        <color theme="4"/>
        <rFont val="Arial"/>
        <family val="2"/>
      </rPr>
      <t xml:space="preserve"> la trazabilidad y auditoría de cada unidad de stock.</t>
    </r>
  </si>
  <si>
    <r>
      <t>Administrar</t>
    </r>
    <r>
      <rPr>
        <sz val="11"/>
        <color theme="4"/>
        <rFont val="Arial"/>
        <family val="2"/>
      </rPr>
      <t xml:space="preserve"> cuentas de usuario con roles y claves encriptadas</t>
    </r>
  </si>
  <si>
    <r>
      <t>Proteger</t>
    </r>
    <r>
      <rPr>
        <sz val="11"/>
        <color theme="4"/>
        <rFont val="Arial"/>
        <family val="2"/>
      </rPr>
      <t xml:space="preserve"> la información delicada restringiendo el acceso por perfil.</t>
    </r>
  </si>
  <si>
    <r>
      <t>Centralizar</t>
    </r>
    <r>
      <rPr>
        <sz val="11"/>
        <color theme="4"/>
        <rFont val="Arial"/>
        <family val="2"/>
      </rPr>
      <t xml:space="preserve"> los datos de contacto y RUC de los proveedores</t>
    </r>
  </si>
  <si>
    <r>
      <t>Realizar</t>
    </r>
    <r>
      <rPr>
        <sz val="11"/>
        <color theme="4"/>
        <rFont val="Arial"/>
        <family val="2"/>
      </rPr>
      <t xml:space="preserve"> pedidos de reposición de forma rápida cuando falte stock.</t>
    </r>
  </si>
  <si>
    <t>REQ009</t>
  </si>
  <si>
    <t>Gestión de Clientes</t>
  </si>
  <si>
    <t>REQ010</t>
  </si>
  <si>
    <t>Interfaz POS</t>
  </si>
  <si>
    <t>Vendedor</t>
  </si>
  <si>
    <t>REQ011</t>
  </si>
  <si>
    <t>Comprobantes PDF</t>
  </si>
  <si>
    <t>REQ012</t>
  </si>
  <si>
    <t>Cierre de Caja</t>
  </si>
  <si>
    <r>
      <t>Almacenar</t>
    </r>
    <r>
      <rPr>
        <sz val="11"/>
        <color theme="4"/>
        <rFont val="Arial"/>
        <family val="2"/>
      </rPr>
      <t xml:space="preserve"> los datos de clientes con validación de Cédula/RUC</t>
    </r>
  </si>
  <si>
    <r>
      <t>Agilizar</t>
    </r>
    <r>
      <rPr>
        <sz val="11"/>
        <color theme="4"/>
        <rFont val="Arial"/>
        <family val="2"/>
      </rPr>
      <t xml:space="preserve"> el proceso de facturación y fidelizar a los compradores.</t>
    </r>
  </si>
  <si>
    <r>
      <t>Utilizar</t>
    </r>
    <r>
      <rPr>
        <sz val="11"/>
        <color theme="4"/>
        <rFont val="Arial"/>
        <family val="2"/>
      </rPr>
      <t xml:space="preserve"> una interfaz de ventas que calcule totales, IVA y cambio</t>
    </r>
  </si>
  <si>
    <r>
      <t>Efectuar</t>
    </r>
    <r>
      <rPr>
        <sz val="11"/>
        <color theme="4"/>
        <rFont val="Arial"/>
        <family val="2"/>
      </rPr>
      <t xml:space="preserve"> transacciones rápidas reduciendo errores de cálculo manual.</t>
    </r>
  </si>
  <si>
    <r>
      <t>Generar</t>
    </r>
    <r>
      <rPr>
        <sz val="11"/>
        <color theme="4"/>
        <rFont val="Arial"/>
        <family val="2"/>
      </rPr>
      <t xml:space="preserve"> e </t>
    </r>
    <r>
      <rPr>
        <b/>
        <sz val="11"/>
        <color theme="4"/>
        <rFont val="Arial"/>
        <family val="2"/>
      </rPr>
      <t>imprimir</t>
    </r>
    <r>
      <rPr>
        <sz val="11"/>
        <color theme="4"/>
        <rFont val="Arial"/>
        <family val="2"/>
      </rPr>
      <t xml:space="preserve"> tickets de venta en formato PDF profesional</t>
    </r>
  </si>
  <si>
    <r>
      <t>Entregar</t>
    </r>
    <r>
      <rPr>
        <sz val="11"/>
        <color theme="4"/>
        <rFont val="Arial"/>
        <family val="2"/>
      </rPr>
      <t xml:space="preserve"> un respaldo formal y legal de la compra al cliente.</t>
    </r>
  </si>
  <si>
    <r>
      <t>Ejecutar</t>
    </r>
    <r>
      <rPr>
        <sz val="11"/>
        <color theme="4"/>
        <rFont val="Arial"/>
        <family val="2"/>
      </rPr>
      <t xml:space="preserve"> un corte de caja diario comparando el sistema con el efectivo</t>
    </r>
  </si>
  <si>
    <r>
      <t>Detectar</t>
    </r>
    <r>
      <rPr>
        <sz val="11"/>
        <color theme="4"/>
        <rFont val="Arial"/>
        <family val="2"/>
      </rPr>
      <t xml:space="preserve"> discrepancias financieras o errores humanos en los cobros.</t>
    </r>
  </si>
  <si>
    <t>REQ013</t>
  </si>
  <si>
    <t>Gestión de Compras</t>
  </si>
  <si>
    <t>REQ014</t>
  </si>
  <si>
    <t>Cuentas por Cobrar</t>
  </si>
  <si>
    <t>REQ015</t>
  </si>
  <si>
    <t>Dashboard Gráfico</t>
  </si>
  <si>
    <t>REQ016</t>
  </si>
  <si>
    <t>Configuración Global</t>
  </si>
  <si>
    <r>
      <t>Gestionar</t>
    </r>
    <r>
      <rPr>
        <sz val="11"/>
        <color theme="4"/>
        <rFont val="Arial"/>
        <family val="2"/>
      </rPr>
      <t xml:space="preserve"> órdenes de compra vinculadas a proveedores y costos</t>
    </r>
  </si>
  <si>
    <r>
      <t>Actualizar</t>
    </r>
    <r>
      <rPr>
        <sz val="11"/>
        <color theme="4"/>
        <rFont val="Arial"/>
        <family val="2"/>
      </rPr>
      <t xml:space="preserve"> el stock y el costo promedio de forma automática.</t>
    </r>
  </si>
  <si>
    <r>
      <t>Manejar</t>
    </r>
    <r>
      <rPr>
        <sz val="11"/>
        <color theme="4"/>
        <rFont val="Arial"/>
        <family val="2"/>
      </rPr>
      <t xml:space="preserve"> ventas a crédito y el registro de abonos parciales</t>
    </r>
  </si>
  <si>
    <r>
      <t>Llevar</t>
    </r>
    <r>
      <rPr>
        <sz val="11"/>
        <color theme="4"/>
        <rFont val="Arial"/>
        <family val="2"/>
      </rPr>
      <t xml:space="preserve"> un control digital de deudores y saldos pendientes de cobro.</t>
    </r>
  </si>
  <si>
    <r>
      <t>Visualizar</t>
    </r>
    <r>
      <rPr>
        <sz val="11"/>
        <color theme="4"/>
        <rFont val="Arial"/>
        <family val="2"/>
      </rPr>
      <t xml:space="preserve"> el rendimiento del negocio mediante gráficos dinámicos</t>
    </r>
  </si>
  <si>
    <r>
      <t>Analizar</t>
    </r>
    <r>
      <rPr>
        <sz val="11"/>
        <color theme="4"/>
        <rFont val="Arial"/>
        <family val="2"/>
      </rPr>
      <t xml:space="preserve"> tendencias de ventas para tomar decisiones estratégicas.</t>
    </r>
  </si>
  <si>
    <r>
      <t>Modificar</t>
    </r>
    <r>
      <rPr>
        <sz val="11"/>
        <color theme="4"/>
        <rFont val="Arial"/>
        <family val="2"/>
      </rPr>
      <t xml:space="preserve"> parámetros del sistema como el nombre de empresa e IVA</t>
    </r>
  </si>
  <si>
    <r>
      <t>Adaptar</t>
    </r>
    <r>
      <rPr>
        <sz val="11"/>
        <color theme="4"/>
        <rFont val="Arial"/>
        <family val="2"/>
      </rPr>
      <t xml:space="preserve"> el software a cambios legales o comerciales sin programar.</t>
    </r>
  </si>
  <si>
    <t>Autenticar usuarios mediante credenciales seguras</t>
  </si>
  <si>
    <t>Registrar productos con SKU validado.</t>
  </si>
  <si>
    <t>Organizar repuestos por familias lógicas.</t>
  </si>
  <si>
    <t>Gestionar estados y búsquedas avanzadas.</t>
  </si>
  <si>
    <t>Registrar salidas con motivos detallados</t>
  </si>
  <si>
    <t>Monitorear movimientos mediante tabla filtrable.</t>
  </si>
  <si>
    <t>Administrar cuentas con roles específicos.</t>
  </si>
  <si>
    <t>Centralizar base de datos proveedores.</t>
  </si>
  <si>
    <t>Almacenar datos de clientes validados.</t>
  </si>
  <si>
    <t>Efectuar ventas con cálculos automáticos.</t>
  </si>
  <si>
    <t>Generar comprobantes en formato PDF.</t>
  </si>
  <si>
    <t>Realizar arqueo y cierre diario.</t>
  </si>
  <si>
    <t>Abastecer stock mediante órdenes compra.</t>
  </si>
  <si>
    <t>Controlar ventas a crédito pendientes.</t>
  </si>
  <si>
    <t>Visualizar rendimiento mediante gráficos dinámicos.</t>
  </si>
  <si>
    <t>Configurar parámetros globales e impuestos.</t>
  </si>
  <si>
    <t>Sprint 4: Compras y Analítica</t>
  </si>
  <si>
    <t>Sprint 3: Ventas y Caja</t>
  </si>
  <si>
    <t>Sprint 2: Inventario y Usuarios</t>
  </si>
  <si>
    <t>Sprint 1: Bases y Catálogo</t>
  </si>
  <si>
    <t>Validar credenciales de usuario</t>
  </si>
  <si>
    <t>Garantizar acceso controlado</t>
  </si>
  <si>
    <t>Registrar salidas con motivos</t>
  </si>
  <si>
    <t>Controlar pérdida de mercadería</t>
  </si>
  <si>
    <t>Almacenar datos de clientes</t>
  </si>
  <si>
    <t>Agilizar proceso de facturación</t>
  </si>
  <si>
    <t>Gestionar órdenes de compra</t>
  </si>
  <si>
    <t>Actualizar costos y stock</t>
  </si>
  <si>
    <t>Bryan Cevallos</t>
  </si>
  <si>
    <t>Leopoldo Bolaños</t>
  </si>
  <si>
    <t>Noe Cahuatijo</t>
  </si>
  <si>
    <t>Jelen Lucio</t>
  </si>
  <si>
    <t>Cevallos Bryan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</si>
</sst>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  <font>
      <sz val="10"/>
      <color theme="4"/>
      <name val="Arial"/>
      <family val="2"/>
    </font>
    <font>
      <sz val="11"/>
      <color theme="4"/>
      <name val="Arial"/>
      <family val="2"/>
    </font>
    <font>
      <b/>
      <sz val="11"/>
      <color theme="4"/>
      <name val="Arial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12" fillId="4" borderId="0" xfId="0" applyFont="1" applyFill="1"/>
    <xf numFmtId="0" fontId="13" fillId="4" borderId="0" xfId="0" applyFont="1" applyFill="1"/>
    <xf numFmtId="0" fontId="15" fillId="0" borderId="0" xfId="0" applyFont="1"/>
    <xf numFmtId="0" fontId="16" fillId="0" borderId="0" xfId="0" applyFont="1"/>
    <xf numFmtId="164" fontId="3" fillId="0" borderId="0" xfId="0" applyNumberFormat="1" applyFont="1"/>
    <xf numFmtId="0" fontId="8" fillId="0" borderId="0" xfId="0" applyFont="1" applyAlignment="1">
      <alignment vertical="center" wrapText="1"/>
    </xf>
    <xf numFmtId="0" fontId="3" fillId="5" borderId="0" xfId="0" applyFont="1" applyFill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wrapText="1"/>
    </xf>
    <xf numFmtId="0" fontId="21" fillId="0" borderId="0" xfId="0" applyFont="1"/>
    <xf numFmtId="0" fontId="3" fillId="6" borderId="0" xfId="0" applyFont="1" applyFill="1" applyAlignment="1">
      <alignment horizontal="right"/>
    </xf>
    <xf numFmtId="0" fontId="3" fillId="7" borderId="1" xfId="0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12">
    <dxf>
      <fill>
        <patternFill patternType="solid">
          <fgColor rgb="FF00FF00"/>
          <bgColor rgb="FF00B050"/>
        </patternFill>
      </fill>
    </dxf>
    <dxf>
      <fill>
        <patternFill patternType="solid">
          <fgColor rgb="FF00FF00"/>
          <bgColor rgb="FF00B050"/>
        </patternFill>
      </fill>
    </dxf>
    <dxf>
      <fill>
        <patternFill patternType="solid">
          <fgColor rgb="FF00FF00"/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00B05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3.6265621885810589E-2"/>
          <c:y val="0.18387888052253931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BURDONCHART!$C$20:$H$20</c:f>
              <c:numCache>
                <c:formatCode>General</c:formatCode>
                <c:ptCount val="6"/>
                <c:pt idx="0">
                  <c:v>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BURDONCHART!$C$21:$H$21</c:f>
              <c:numCache>
                <c:formatCode>0.0</c:formatCode>
                <c:ptCount val="6"/>
                <c:pt idx="0" formatCode="General">
                  <c:v>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765313</xdr:colOff>
      <xdr:row>24</xdr:row>
      <xdr:rowOff>4436</xdr:rowOff>
    </xdr:from>
    <xdr:to>
      <xdr:col>8</xdr:col>
      <xdr:colOff>787812</xdr:colOff>
      <xdr:row>44</xdr:row>
      <xdr:rowOff>159837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19" headerRowCount="0" totalsRowShown="0" headerRowDxfId="4" dataDxfId="3" tableBorderDxfId="6">
  <tableColumns count="1">
    <tableColumn id="1" xr3:uid="{00000000-0010-0000-0000-000001000000}" name="Column1" dataDxfId="5" totalsRowDxfId="8"/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I20:I21" headerRowCount="0" totalsRowShown="0" headerRowDxfId="1" dataDxfId="0">
  <tableColumns count="1">
    <tableColumn id="1" xr3:uid="{00000000-0010-0000-0100-000001000000}" name="Column1" dataDxfId="2" totalsRowDxfId="7"/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="82" zoomScaleNormal="82" workbookViewId="0">
      <selection activeCell="F24" sqref="F24"/>
    </sheetView>
  </sheetViews>
  <sheetFormatPr baseColWidth="10" defaultColWidth="12.5546875" defaultRowHeight="15" customHeight="1" x14ac:dyDescent="0.25"/>
  <cols>
    <col min="1" max="1" width="12.44140625" customWidth="1"/>
    <col min="2" max="2" width="39.5546875" bestFit="1" customWidth="1"/>
    <col min="3" max="3" width="36" customWidth="1"/>
    <col min="4" max="4" width="75.88671875" bestFit="1" customWidth="1"/>
    <col min="5" max="5" width="79.6640625" customWidth="1"/>
    <col min="6" max="26" width="12.44140625" customWidth="1"/>
  </cols>
  <sheetData>
    <row r="1" spans="1:8" s="8" customFormat="1" ht="15.7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s="10" customFormat="1" ht="15.75" customHeight="1" x14ac:dyDescent="0.25">
      <c r="A2" s="21" t="s">
        <v>29</v>
      </c>
      <c r="B2" s="21"/>
      <c r="C2" s="21"/>
      <c r="D2" s="21"/>
      <c r="E2" s="21"/>
      <c r="F2" s="21"/>
      <c r="G2" s="21"/>
      <c r="H2" s="21"/>
    </row>
    <row r="3" spans="1:8" ht="15.75" customHeight="1" x14ac:dyDescent="0.25">
      <c r="A3" s="12" t="s">
        <v>8</v>
      </c>
      <c r="B3" s="16" t="s">
        <v>37</v>
      </c>
      <c r="C3" s="16" t="s">
        <v>38</v>
      </c>
      <c r="D3" s="25" t="s">
        <v>42</v>
      </c>
      <c r="E3" s="26" t="s">
        <v>43</v>
      </c>
      <c r="F3" s="13"/>
      <c r="G3" s="12" t="s">
        <v>9</v>
      </c>
      <c r="H3" s="12" t="s">
        <v>26</v>
      </c>
    </row>
    <row r="4" spans="1:8" ht="15.75" customHeight="1" x14ac:dyDescent="0.25">
      <c r="A4" s="12" t="s">
        <v>30</v>
      </c>
      <c r="B4" s="16" t="s">
        <v>39</v>
      </c>
      <c r="C4" s="16" t="s">
        <v>28</v>
      </c>
      <c r="D4" s="25" t="s">
        <v>44</v>
      </c>
      <c r="E4" s="26" t="s">
        <v>45</v>
      </c>
      <c r="F4" s="12"/>
      <c r="G4" s="12" t="s">
        <v>9</v>
      </c>
      <c r="H4" s="12" t="s">
        <v>26</v>
      </c>
    </row>
    <row r="5" spans="1:8" ht="15.75" customHeight="1" x14ac:dyDescent="0.25">
      <c r="A5" s="12" t="s">
        <v>31</v>
      </c>
      <c r="B5" s="16" t="s">
        <v>40</v>
      </c>
      <c r="C5" s="16" t="s">
        <v>38</v>
      </c>
      <c r="D5" s="25" t="s">
        <v>46</v>
      </c>
      <c r="E5" s="26" t="s">
        <v>47</v>
      </c>
      <c r="F5" s="13"/>
      <c r="G5" s="12" t="s">
        <v>9</v>
      </c>
      <c r="H5" s="12" t="s">
        <v>26</v>
      </c>
    </row>
    <row r="6" spans="1:8" s="17" customFormat="1" ht="14.1" customHeight="1" x14ac:dyDescent="0.25">
      <c r="A6" s="12" t="s">
        <v>32</v>
      </c>
      <c r="B6" s="16" t="s">
        <v>41</v>
      </c>
      <c r="C6" s="16" t="s">
        <v>38</v>
      </c>
      <c r="D6" s="25" t="s">
        <v>48</v>
      </c>
      <c r="E6" s="26" t="s">
        <v>49</v>
      </c>
      <c r="F6" s="13"/>
      <c r="G6" s="12" t="s">
        <v>9</v>
      </c>
      <c r="H6" s="12" t="s">
        <v>26</v>
      </c>
    </row>
    <row r="7" spans="1:8" ht="15.75" customHeight="1" x14ac:dyDescent="0.25">
      <c r="A7" s="22" t="s">
        <v>36</v>
      </c>
      <c r="B7" s="22"/>
      <c r="C7" s="22"/>
      <c r="D7" s="22"/>
      <c r="E7" s="22"/>
      <c r="F7" s="22"/>
      <c r="G7" s="22"/>
      <c r="H7" s="22"/>
    </row>
    <row r="8" spans="1:8" ht="13.8" x14ac:dyDescent="0.25">
      <c r="A8" s="12" t="s">
        <v>33</v>
      </c>
      <c r="B8" s="16" t="s">
        <v>52</v>
      </c>
      <c r="C8" s="16" t="s">
        <v>38</v>
      </c>
      <c r="D8" s="25" t="s">
        <v>57</v>
      </c>
      <c r="E8" s="26" t="s">
        <v>58</v>
      </c>
      <c r="F8" s="17"/>
      <c r="G8" s="16" t="s">
        <v>9</v>
      </c>
      <c r="H8" s="12" t="s">
        <v>26</v>
      </c>
    </row>
    <row r="9" spans="1:8" ht="15.75" customHeight="1" x14ac:dyDescent="0.25">
      <c r="A9" s="12" t="s">
        <v>34</v>
      </c>
      <c r="B9" s="16" t="s">
        <v>53</v>
      </c>
      <c r="C9" s="16" t="s">
        <v>38</v>
      </c>
      <c r="D9" s="25" t="s">
        <v>59</v>
      </c>
      <c r="E9" s="26" t="s">
        <v>60</v>
      </c>
      <c r="F9" s="17"/>
      <c r="G9" s="16" t="s">
        <v>9</v>
      </c>
      <c r="H9" s="12" t="s">
        <v>26</v>
      </c>
    </row>
    <row r="10" spans="1:8" ht="15.75" customHeight="1" x14ac:dyDescent="0.25">
      <c r="A10" s="12" t="s">
        <v>35</v>
      </c>
      <c r="B10" s="16" t="s">
        <v>54</v>
      </c>
      <c r="C10" s="16" t="s">
        <v>28</v>
      </c>
      <c r="D10" s="25" t="s">
        <v>61</v>
      </c>
      <c r="E10" s="26" t="s">
        <v>62</v>
      </c>
      <c r="F10" s="16"/>
      <c r="G10" s="16" t="s">
        <v>9</v>
      </c>
      <c r="H10" s="12" t="s">
        <v>26</v>
      </c>
    </row>
    <row r="11" spans="1:8" ht="15.75" customHeight="1" x14ac:dyDescent="0.25">
      <c r="A11" s="12" t="s">
        <v>55</v>
      </c>
      <c r="B11" s="16" t="s">
        <v>56</v>
      </c>
      <c r="C11" s="16" t="s">
        <v>28</v>
      </c>
      <c r="D11" s="25" t="s">
        <v>63</v>
      </c>
      <c r="E11" s="26" t="s">
        <v>64</v>
      </c>
      <c r="F11" s="17"/>
      <c r="G11" s="16"/>
      <c r="H11" s="16"/>
    </row>
    <row r="12" spans="1:8" ht="15.75" customHeight="1" x14ac:dyDescent="0.25">
      <c r="A12" s="22" t="s">
        <v>50</v>
      </c>
      <c r="B12" s="22"/>
      <c r="C12" s="22"/>
      <c r="D12" s="22"/>
      <c r="E12" s="22"/>
      <c r="F12" s="22"/>
      <c r="G12" s="22"/>
      <c r="H12" s="22"/>
    </row>
    <row r="13" spans="1:8" ht="15.75" customHeight="1" x14ac:dyDescent="0.25">
      <c r="A13" s="12" t="s">
        <v>65</v>
      </c>
      <c r="B13" s="16" t="s">
        <v>66</v>
      </c>
      <c r="C13" s="16" t="s">
        <v>38</v>
      </c>
      <c r="D13" s="25" t="s">
        <v>74</v>
      </c>
      <c r="E13" s="26" t="s">
        <v>75</v>
      </c>
      <c r="G13" s="12" t="s">
        <v>9</v>
      </c>
      <c r="H13" s="12" t="s">
        <v>26</v>
      </c>
    </row>
    <row r="14" spans="1:8" ht="15.75" customHeight="1" x14ac:dyDescent="0.25">
      <c r="A14" s="12" t="s">
        <v>67</v>
      </c>
      <c r="B14" s="16" t="s">
        <v>68</v>
      </c>
      <c r="C14" s="16" t="s">
        <v>69</v>
      </c>
      <c r="D14" s="25" t="s">
        <v>76</v>
      </c>
      <c r="E14" s="26" t="s">
        <v>77</v>
      </c>
      <c r="G14" s="12" t="s">
        <v>9</v>
      </c>
      <c r="H14" s="12" t="s">
        <v>26</v>
      </c>
    </row>
    <row r="15" spans="1:8" ht="15.75" customHeight="1" x14ac:dyDescent="0.25">
      <c r="A15" s="12" t="s">
        <v>70</v>
      </c>
      <c r="B15" s="16" t="s">
        <v>71</v>
      </c>
      <c r="C15" s="16" t="s">
        <v>69</v>
      </c>
      <c r="D15" s="25" t="s">
        <v>78</v>
      </c>
      <c r="E15" s="26" t="s">
        <v>79</v>
      </c>
      <c r="G15" s="12" t="s">
        <v>9</v>
      </c>
      <c r="H15" s="12" t="s">
        <v>26</v>
      </c>
    </row>
    <row r="16" spans="1:8" ht="15.75" customHeight="1" x14ac:dyDescent="0.25">
      <c r="A16" s="12" t="s">
        <v>72</v>
      </c>
      <c r="B16" s="16" t="s">
        <v>73</v>
      </c>
      <c r="C16" s="16" t="s">
        <v>38</v>
      </c>
      <c r="D16" s="25" t="s">
        <v>80</v>
      </c>
      <c r="E16" s="26" t="s">
        <v>81</v>
      </c>
      <c r="G16" s="12" t="s">
        <v>9</v>
      </c>
      <c r="H16" s="12" t="s">
        <v>26</v>
      </c>
    </row>
    <row r="17" spans="1:8" ht="15.75" customHeight="1" x14ac:dyDescent="0.25">
      <c r="A17" s="22" t="s">
        <v>51</v>
      </c>
      <c r="B17" s="22"/>
      <c r="C17" s="22"/>
      <c r="D17" s="22"/>
      <c r="E17" s="22"/>
      <c r="F17" s="22"/>
      <c r="G17" s="22"/>
      <c r="H17" s="22"/>
    </row>
    <row r="18" spans="1:8" ht="15.75" customHeight="1" x14ac:dyDescent="0.25">
      <c r="A18" s="12" t="s">
        <v>82</v>
      </c>
      <c r="B18" s="16" t="s">
        <v>83</v>
      </c>
      <c r="C18" s="16" t="s">
        <v>38</v>
      </c>
      <c r="D18" s="25" t="s">
        <v>90</v>
      </c>
      <c r="E18" s="26" t="s">
        <v>91</v>
      </c>
      <c r="G18" s="12" t="s">
        <v>9</v>
      </c>
      <c r="H18" s="12" t="s">
        <v>26</v>
      </c>
    </row>
    <row r="19" spans="1:8" ht="15.75" customHeight="1" x14ac:dyDescent="0.25">
      <c r="A19" s="12" t="s">
        <v>84</v>
      </c>
      <c r="B19" s="16" t="s">
        <v>85</v>
      </c>
      <c r="C19" s="16" t="s">
        <v>38</v>
      </c>
      <c r="D19" s="25" t="s">
        <v>92</v>
      </c>
      <c r="E19" s="26" t="s">
        <v>93</v>
      </c>
      <c r="G19" s="12" t="s">
        <v>9</v>
      </c>
      <c r="H19" s="12" t="s">
        <v>26</v>
      </c>
    </row>
    <row r="20" spans="1:8" ht="15.75" customHeight="1" x14ac:dyDescent="0.25">
      <c r="A20" s="12" t="s">
        <v>86</v>
      </c>
      <c r="B20" s="16" t="s">
        <v>87</v>
      </c>
      <c r="C20" s="16" t="s">
        <v>28</v>
      </c>
      <c r="D20" s="25" t="s">
        <v>94</v>
      </c>
      <c r="E20" s="26" t="s">
        <v>95</v>
      </c>
      <c r="G20" s="12" t="s">
        <v>9</v>
      </c>
      <c r="H20" s="12" t="s">
        <v>26</v>
      </c>
    </row>
    <row r="21" spans="1:8" ht="15.75" customHeight="1" x14ac:dyDescent="0.25">
      <c r="A21" s="12" t="s">
        <v>88</v>
      </c>
      <c r="B21" s="16" t="s">
        <v>89</v>
      </c>
      <c r="C21" s="16" t="s">
        <v>28</v>
      </c>
      <c r="D21" s="25" t="s">
        <v>96</v>
      </c>
      <c r="E21" s="26" t="s">
        <v>97</v>
      </c>
      <c r="G21" s="12" t="s">
        <v>9</v>
      </c>
      <c r="H21" s="12" t="s">
        <v>26</v>
      </c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2:H2"/>
    <mergeCell ref="A7:H7"/>
    <mergeCell ref="A12:H12"/>
    <mergeCell ref="A17:H17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39"/>
  <sheetViews>
    <sheetView zoomScale="78" workbookViewId="0">
      <selection activeCell="G29" sqref="G29"/>
    </sheetView>
  </sheetViews>
  <sheetFormatPr baseColWidth="10" defaultColWidth="12.5546875" defaultRowHeight="15" customHeight="1" x14ac:dyDescent="0.25"/>
  <cols>
    <col min="1" max="1" width="21" customWidth="1"/>
    <col min="2" max="2" width="12.44140625" customWidth="1"/>
    <col min="3" max="3" width="50.6640625" customWidth="1"/>
    <col min="4" max="4" width="18.5546875" customWidth="1"/>
    <col min="5" max="5" width="37.5546875" bestFit="1" customWidth="1"/>
    <col min="6" max="6" width="56.33203125" customWidth="1"/>
    <col min="7" max="26" width="12.44140625" customWidth="1"/>
  </cols>
  <sheetData>
    <row r="1" spans="1:9" ht="15.75" customHeight="1" x14ac:dyDescent="0.25"/>
    <row r="2" spans="1:9" ht="15.75" customHeight="1" x14ac:dyDescent="0.25">
      <c r="A2" s="27" t="s">
        <v>117</v>
      </c>
    </row>
    <row r="3" spans="1:9" ht="15.75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1:9" s="10" customFormat="1" ht="15.75" customHeight="1" x14ac:dyDescent="0.25">
      <c r="B4" s="14" t="s">
        <v>8</v>
      </c>
      <c r="C4" s="14" t="s">
        <v>98</v>
      </c>
      <c r="D4" s="14" t="s">
        <v>28</v>
      </c>
      <c r="E4" s="14" t="s">
        <v>118</v>
      </c>
      <c r="F4" s="14" t="s">
        <v>119</v>
      </c>
      <c r="G4" s="15"/>
      <c r="H4" s="14" t="s">
        <v>9</v>
      </c>
      <c r="I4" s="14" t="s">
        <v>27</v>
      </c>
    </row>
    <row r="5" spans="1:9" s="10" customFormat="1" ht="15.75" customHeight="1" x14ac:dyDescent="0.25">
      <c r="B5" s="9"/>
      <c r="C5" s="11" t="s">
        <v>15</v>
      </c>
      <c r="D5" s="9"/>
      <c r="E5" s="9"/>
      <c r="F5" s="9"/>
      <c r="G5" s="11" t="s">
        <v>16</v>
      </c>
      <c r="H5" s="9" t="s">
        <v>9</v>
      </c>
      <c r="I5" s="11" t="s">
        <v>17</v>
      </c>
    </row>
    <row r="6" spans="1:9" s="10" customFormat="1" ht="15.75" customHeight="1" x14ac:dyDescent="0.25">
      <c r="B6" s="9" t="s">
        <v>30</v>
      </c>
      <c r="C6" s="23" t="s">
        <v>99</v>
      </c>
      <c r="D6" s="24"/>
      <c r="E6" s="24"/>
      <c r="F6" s="24"/>
      <c r="G6" s="9" t="s">
        <v>126</v>
      </c>
      <c r="H6" s="9" t="s">
        <v>9</v>
      </c>
      <c r="I6" s="9">
        <v>6</v>
      </c>
    </row>
    <row r="7" spans="1:9" s="10" customFormat="1" ht="15.75" customHeight="1" x14ac:dyDescent="0.25">
      <c r="B7" s="9" t="s">
        <v>31</v>
      </c>
      <c r="C7" s="23" t="s">
        <v>100</v>
      </c>
      <c r="D7" s="24"/>
      <c r="E7" s="24"/>
      <c r="F7" s="24"/>
      <c r="G7" s="9" t="s">
        <v>127</v>
      </c>
      <c r="H7" s="9" t="s">
        <v>9</v>
      </c>
      <c r="I7" s="9">
        <v>6</v>
      </c>
    </row>
    <row r="8" spans="1:9" s="10" customFormat="1" ht="15.75" customHeight="1" x14ac:dyDescent="0.25">
      <c r="B8" s="9" t="s">
        <v>32</v>
      </c>
      <c r="C8" s="23" t="s">
        <v>101</v>
      </c>
      <c r="D8" s="24"/>
      <c r="E8" s="24"/>
      <c r="F8" s="24"/>
      <c r="G8" s="9" t="s">
        <v>128</v>
      </c>
      <c r="H8" s="9" t="s">
        <v>9</v>
      </c>
      <c r="I8" s="9">
        <v>6</v>
      </c>
    </row>
    <row r="9" spans="1:9" ht="15.75" customHeight="1" x14ac:dyDescent="0.25">
      <c r="A9" s="27" t="s">
        <v>116</v>
      </c>
      <c r="B9" s="1"/>
      <c r="C9" s="1"/>
      <c r="D9" s="1"/>
      <c r="E9" s="1"/>
      <c r="F9" s="1"/>
      <c r="G9" s="1"/>
      <c r="H9" s="1"/>
      <c r="I9" s="1"/>
    </row>
    <row r="10" spans="1:9" ht="15.75" customHeight="1" x14ac:dyDescent="0.25">
      <c r="B10" s="1" t="s">
        <v>10</v>
      </c>
      <c r="C10" s="1" t="s">
        <v>1</v>
      </c>
      <c r="D10" s="1" t="s">
        <v>2</v>
      </c>
      <c r="E10" s="1" t="s">
        <v>11</v>
      </c>
      <c r="F10" s="1" t="s">
        <v>12</v>
      </c>
      <c r="G10" s="1" t="s">
        <v>5</v>
      </c>
      <c r="H10" s="1" t="s">
        <v>13</v>
      </c>
      <c r="I10" s="1" t="s">
        <v>14</v>
      </c>
    </row>
    <row r="11" spans="1:9" ht="15.75" customHeight="1" x14ac:dyDescent="0.25">
      <c r="B11" s="14" t="s">
        <v>33</v>
      </c>
      <c r="C11" s="14" t="s">
        <v>102</v>
      </c>
      <c r="D11" s="14" t="s">
        <v>28</v>
      </c>
      <c r="E11" s="14" t="s">
        <v>120</v>
      </c>
      <c r="F11" s="14" t="s">
        <v>121</v>
      </c>
      <c r="G11" s="15"/>
      <c r="H11" s="14" t="s">
        <v>9</v>
      </c>
      <c r="I11" s="14" t="s">
        <v>27</v>
      </c>
    </row>
    <row r="12" spans="1:9" ht="15.75" customHeight="1" x14ac:dyDescent="0.25">
      <c r="B12" s="9"/>
      <c r="C12" s="11" t="s">
        <v>15</v>
      </c>
      <c r="D12" s="9"/>
      <c r="E12" s="9"/>
      <c r="F12" s="9"/>
      <c r="G12" s="11" t="s">
        <v>16</v>
      </c>
      <c r="H12" s="9" t="s">
        <v>9</v>
      </c>
      <c r="I12" s="11" t="s">
        <v>17</v>
      </c>
    </row>
    <row r="13" spans="1:9" ht="15.75" customHeight="1" x14ac:dyDescent="0.25">
      <c r="B13" s="9" t="s">
        <v>34</v>
      </c>
      <c r="C13" s="23" t="s">
        <v>103</v>
      </c>
      <c r="D13" s="24"/>
      <c r="E13" s="24"/>
      <c r="F13" s="24"/>
      <c r="G13" s="9" t="s">
        <v>128</v>
      </c>
      <c r="H13" s="9" t="s">
        <v>9</v>
      </c>
      <c r="I13" s="9">
        <v>7</v>
      </c>
    </row>
    <row r="14" spans="1:9" ht="15.75" customHeight="1" x14ac:dyDescent="0.25">
      <c r="B14" s="9" t="s">
        <v>35</v>
      </c>
      <c r="C14" s="23" t="s">
        <v>104</v>
      </c>
      <c r="D14" s="24"/>
      <c r="E14" s="24"/>
      <c r="F14" s="24"/>
      <c r="G14" s="9" t="s">
        <v>128</v>
      </c>
      <c r="H14" s="9" t="s">
        <v>9</v>
      </c>
      <c r="I14" s="9">
        <v>5</v>
      </c>
    </row>
    <row r="15" spans="1:9" ht="15.75" customHeight="1" x14ac:dyDescent="0.25">
      <c r="B15" s="9" t="s">
        <v>55</v>
      </c>
      <c r="C15" s="23" t="s">
        <v>105</v>
      </c>
      <c r="D15" s="24"/>
      <c r="E15" s="24"/>
      <c r="F15" s="24"/>
      <c r="G15" s="9" t="s">
        <v>128</v>
      </c>
      <c r="H15" s="9" t="s">
        <v>9</v>
      </c>
      <c r="I15" s="9">
        <v>3</v>
      </c>
    </row>
    <row r="16" spans="1:9" ht="15.75" customHeight="1" x14ac:dyDescent="0.25">
      <c r="A16" s="27" t="s">
        <v>115</v>
      </c>
    </row>
    <row r="17" spans="1:9" ht="15.75" customHeight="1" x14ac:dyDescent="0.25">
      <c r="B17" s="1" t="s">
        <v>10</v>
      </c>
      <c r="C17" s="1" t="s">
        <v>1</v>
      </c>
      <c r="D17" s="1" t="s">
        <v>2</v>
      </c>
      <c r="E17" s="1" t="s">
        <v>11</v>
      </c>
      <c r="F17" s="1" t="s">
        <v>12</v>
      </c>
      <c r="G17" s="1" t="s">
        <v>5</v>
      </c>
      <c r="H17" s="1" t="s">
        <v>13</v>
      </c>
      <c r="I17" s="1" t="s">
        <v>14</v>
      </c>
    </row>
    <row r="18" spans="1:9" ht="15.75" customHeight="1" x14ac:dyDescent="0.25">
      <c r="B18" s="14" t="s">
        <v>65</v>
      </c>
      <c r="C18" s="14" t="s">
        <v>106</v>
      </c>
      <c r="D18" s="14" t="s">
        <v>28</v>
      </c>
      <c r="E18" s="14" t="s">
        <v>122</v>
      </c>
      <c r="F18" s="14" t="s">
        <v>123</v>
      </c>
      <c r="G18" s="15"/>
      <c r="H18" s="14" t="s">
        <v>9</v>
      </c>
      <c r="I18" s="14" t="s">
        <v>27</v>
      </c>
    </row>
    <row r="19" spans="1:9" ht="15.75" customHeight="1" x14ac:dyDescent="0.25">
      <c r="B19" s="9"/>
      <c r="C19" s="11" t="s">
        <v>15</v>
      </c>
      <c r="D19" s="9"/>
      <c r="E19" s="9"/>
      <c r="F19" s="9"/>
      <c r="G19" s="11" t="s">
        <v>16</v>
      </c>
      <c r="H19" s="9" t="s">
        <v>9</v>
      </c>
      <c r="I19" s="11" t="s">
        <v>17</v>
      </c>
    </row>
    <row r="20" spans="1:9" ht="15.75" customHeight="1" x14ac:dyDescent="0.25">
      <c r="B20" s="9" t="s">
        <v>67</v>
      </c>
      <c r="C20" s="23" t="s">
        <v>107</v>
      </c>
      <c r="D20" s="24"/>
      <c r="E20" s="24"/>
      <c r="F20" s="24"/>
      <c r="G20" s="9" t="s">
        <v>129</v>
      </c>
      <c r="H20" s="9" t="s">
        <v>9</v>
      </c>
      <c r="I20" s="9">
        <v>8</v>
      </c>
    </row>
    <row r="21" spans="1:9" ht="15.75" customHeight="1" x14ac:dyDescent="0.25">
      <c r="B21" s="9" t="s">
        <v>70</v>
      </c>
      <c r="C21" s="23" t="s">
        <v>108</v>
      </c>
      <c r="D21" s="24"/>
      <c r="E21" s="24"/>
      <c r="F21" s="24"/>
      <c r="G21" s="9" t="s">
        <v>130</v>
      </c>
      <c r="H21" s="9" t="s">
        <v>9</v>
      </c>
      <c r="I21" s="9">
        <v>6</v>
      </c>
    </row>
    <row r="22" spans="1:9" ht="15.75" customHeight="1" x14ac:dyDescent="0.25">
      <c r="B22" s="9" t="s">
        <v>72</v>
      </c>
      <c r="C22" s="23" t="s">
        <v>109</v>
      </c>
      <c r="D22" s="24"/>
      <c r="E22" s="24"/>
      <c r="F22" s="24"/>
      <c r="G22" s="9" t="s">
        <v>127</v>
      </c>
      <c r="H22" s="9" t="s">
        <v>9</v>
      </c>
      <c r="I22" s="9">
        <v>5</v>
      </c>
    </row>
    <row r="23" spans="1:9" ht="15.75" customHeight="1" x14ac:dyDescent="0.25">
      <c r="A23" s="27" t="s">
        <v>114</v>
      </c>
    </row>
    <row r="24" spans="1:9" ht="15.75" customHeight="1" x14ac:dyDescent="0.25">
      <c r="B24" s="1" t="s">
        <v>10</v>
      </c>
      <c r="C24" s="1" t="s">
        <v>1</v>
      </c>
      <c r="D24" s="1" t="s">
        <v>2</v>
      </c>
      <c r="E24" s="1" t="s">
        <v>11</v>
      </c>
      <c r="F24" s="1" t="s">
        <v>12</v>
      </c>
      <c r="G24" s="1" t="s">
        <v>5</v>
      </c>
      <c r="H24" s="1" t="s">
        <v>13</v>
      </c>
      <c r="I24" s="1" t="s">
        <v>14</v>
      </c>
    </row>
    <row r="25" spans="1:9" ht="15.75" customHeight="1" x14ac:dyDescent="0.25">
      <c r="B25" s="14" t="s">
        <v>82</v>
      </c>
      <c r="C25" s="14" t="s">
        <v>110</v>
      </c>
      <c r="D25" s="14" t="s">
        <v>28</v>
      </c>
      <c r="E25" s="14" t="s">
        <v>124</v>
      </c>
      <c r="F25" s="14" t="s">
        <v>125</v>
      </c>
      <c r="G25" s="15"/>
      <c r="H25" s="14" t="s">
        <v>9</v>
      </c>
      <c r="I25" s="14" t="s">
        <v>27</v>
      </c>
    </row>
    <row r="26" spans="1:9" ht="15.75" customHeight="1" x14ac:dyDescent="0.25">
      <c r="B26" s="9"/>
      <c r="C26" s="11" t="s">
        <v>15</v>
      </c>
      <c r="D26" s="9"/>
      <c r="E26" s="9"/>
      <c r="F26" s="9"/>
      <c r="G26" s="11" t="s">
        <v>16</v>
      </c>
      <c r="H26" s="9" t="s">
        <v>9</v>
      </c>
      <c r="I26" s="11" t="s">
        <v>17</v>
      </c>
    </row>
    <row r="27" spans="1:9" ht="15.75" customHeight="1" x14ac:dyDescent="0.25">
      <c r="B27" s="9" t="s">
        <v>84</v>
      </c>
      <c r="C27" s="23" t="s">
        <v>111</v>
      </c>
      <c r="D27" s="24"/>
      <c r="E27" s="24"/>
      <c r="F27" s="24"/>
      <c r="G27" s="9" t="s">
        <v>130</v>
      </c>
      <c r="H27" s="9" t="s">
        <v>9</v>
      </c>
      <c r="I27" s="9">
        <v>7</v>
      </c>
    </row>
    <row r="28" spans="1:9" ht="15.75" customHeight="1" x14ac:dyDescent="0.25">
      <c r="B28" s="9" t="s">
        <v>86</v>
      </c>
      <c r="C28" s="23" t="s">
        <v>112</v>
      </c>
      <c r="D28" s="24"/>
      <c r="E28" s="24"/>
      <c r="F28" s="24"/>
      <c r="G28" s="9" t="s">
        <v>129</v>
      </c>
      <c r="H28" s="9" t="s">
        <v>9</v>
      </c>
      <c r="I28" s="9">
        <v>5</v>
      </c>
    </row>
    <row r="29" spans="1:9" ht="15.75" customHeight="1" x14ac:dyDescent="0.25">
      <c r="B29" s="9" t="s">
        <v>88</v>
      </c>
      <c r="C29" s="23" t="s">
        <v>113</v>
      </c>
      <c r="D29" s="24"/>
      <c r="E29" s="24"/>
      <c r="F29" s="24"/>
      <c r="G29" s="9" t="s">
        <v>127</v>
      </c>
      <c r="H29" s="9" t="s">
        <v>9</v>
      </c>
      <c r="I29" s="9">
        <v>3</v>
      </c>
    </row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</sheetData>
  <mergeCells count="12">
    <mergeCell ref="C28:F28"/>
    <mergeCell ref="C29:F29"/>
    <mergeCell ref="C15:F15"/>
    <mergeCell ref="C20:F20"/>
    <mergeCell ref="C21:F21"/>
    <mergeCell ref="C22:F22"/>
    <mergeCell ref="C27:F27"/>
    <mergeCell ref="C6:F6"/>
    <mergeCell ref="C7:F7"/>
    <mergeCell ref="C8:F8"/>
    <mergeCell ref="C13:F13"/>
    <mergeCell ref="C14:F14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66"/>
  <sheetViews>
    <sheetView tabSelected="1" zoomScale="70" zoomScaleNormal="70" workbookViewId="0">
      <selection activeCell="C21" sqref="C21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3" width="12.44140625" customWidth="1"/>
  </cols>
  <sheetData>
    <row r="1" spans="1:9" ht="15.75" customHeight="1" x14ac:dyDescent="0.25"/>
    <row r="2" spans="1:9" ht="15.75" customHeight="1" x14ac:dyDescent="0.25"/>
    <row r="3" spans="1:9" ht="15.75" customHeight="1" x14ac:dyDescent="0.25">
      <c r="B3" s="3"/>
      <c r="C3" s="3" t="s">
        <v>17</v>
      </c>
      <c r="D3" s="20" t="s">
        <v>18</v>
      </c>
      <c r="E3" s="20" t="s">
        <v>19</v>
      </c>
      <c r="F3" s="20" t="s">
        <v>20</v>
      </c>
      <c r="G3" s="20" t="s">
        <v>21</v>
      </c>
      <c r="H3" s="20" t="s">
        <v>22</v>
      </c>
      <c r="I3" s="3" t="s">
        <v>23</v>
      </c>
    </row>
    <row r="4" spans="1:9" ht="15.75" customHeight="1" x14ac:dyDescent="0.25">
      <c r="B4" s="2" t="s">
        <v>8</v>
      </c>
      <c r="C4" s="5">
        <v>5</v>
      </c>
      <c r="D4" s="4">
        <v>2</v>
      </c>
      <c r="E4" s="4">
        <v>2</v>
      </c>
      <c r="F4" s="4">
        <v>0</v>
      </c>
      <c r="G4" s="4">
        <v>0</v>
      </c>
      <c r="H4" s="4">
        <v>0</v>
      </c>
      <c r="I4" s="28">
        <v>4</v>
      </c>
    </row>
    <row r="5" spans="1:9" ht="15.75" customHeight="1" x14ac:dyDescent="0.25">
      <c r="B5" s="2" t="s">
        <v>30</v>
      </c>
      <c r="C5" s="5">
        <v>3</v>
      </c>
      <c r="D5" s="4">
        <v>3</v>
      </c>
      <c r="E5" s="4">
        <v>3</v>
      </c>
      <c r="F5" s="4">
        <v>0</v>
      </c>
      <c r="G5" s="4">
        <v>0</v>
      </c>
      <c r="H5" s="4">
        <v>0</v>
      </c>
      <c r="I5" s="28">
        <v>6</v>
      </c>
    </row>
    <row r="6" spans="1:9" ht="15.75" customHeight="1" x14ac:dyDescent="0.25">
      <c r="A6" s="3"/>
      <c r="B6" s="2" t="s">
        <v>31</v>
      </c>
      <c r="C6" s="5">
        <v>3</v>
      </c>
      <c r="D6" s="4">
        <v>2</v>
      </c>
      <c r="E6" s="4">
        <v>2</v>
      </c>
      <c r="F6" s="4">
        <v>2</v>
      </c>
      <c r="G6" s="4">
        <v>0</v>
      </c>
      <c r="H6" s="4">
        <v>0</v>
      </c>
      <c r="I6" s="28">
        <v>6</v>
      </c>
    </row>
    <row r="7" spans="1:9" ht="15.75" customHeight="1" x14ac:dyDescent="0.25">
      <c r="B7" s="2" t="s">
        <v>32</v>
      </c>
      <c r="D7" s="4">
        <v>0</v>
      </c>
      <c r="E7" s="4">
        <v>3</v>
      </c>
      <c r="F7" s="4">
        <v>3</v>
      </c>
      <c r="G7" s="4">
        <v>0</v>
      </c>
      <c r="H7" s="4">
        <v>0</v>
      </c>
      <c r="I7" s="28">
        <v>6</v>
      </c>
    </row>
    <row r="8" spans="1:9" ht="15.75" customHeight="1" x14ac:dyDescent="0.25">
      <c r="B8" s="2" t="s">
        <v>33</v>
      </c>
      <c r="C8" s="5">
        <v>5</v>
      </c>
      <c r="D8" s="4">
        <v>0</v>
      </c>
      <c r="E8" s="4">
        <v>0</v>
      </c>
      <c r="F8" s="4">
        <v>3</v>
      </c>
      <c r="G8" s="4">
        <v>3</v>
      </c>
      <c r="H8" s="4">
        <v>0</v>
      </c>
      <c r="I8" s="28">
        <v>6</v>
      </c>
    </row>
    <row r="9" spans="1:9" ht="15.75" customHeight="1" x14ac:dyDescent="0.25">
      <c r="B9" s="2" t="s">
        <v>34</v>
      </c>
      <c r="C9" s="5">
        <v>5</v>
      </c>
      <c r="D9" s="4">
        <v>0</v>
      </c>
      <c r="E9" s="4">
        <v>0</v>
      </c>
      <c r="F9" s="4">
        <v>2</v>
      </c>
      <c r="G9" s="4">
        <v>3</v>
      </c>
      <c r="H9" s="4">
        <v>2</v>
      </c>
      <c r="I9" s="28">
        <v>7</v>
      </c>
    </row>
    <row r="10" spans="1:9" ht="15.75" customHeight="1" x14ac:dyDescent="0.25">
      <c r="B10" s="2" t="s">
        <v>35</v>
      </c>
      <c r="D10" s="4">
        <v>0</v>
      </c>
      <c r="E10" s="4">
        <v>0</v>
      </c>
      <c r="F10" s="4">
        <v>0</v>
      </c>
      <c r="G10" s="4">
        <v>3</v>
      </c>
      <c r="H10" s="4">
        <v>2</v>
      </c>
      <c r="I10" s="28">
        <v>5</v>
      </c>
    </row>
    <row r="11" spans="1:9" ht="15.75" customHeight="1" x14ac:dyDescent="0.25">
      <c r="B11" s="2" t="s">
        <v>55</v>
      </c>
      <c r="C11" s="5">
        <v>4</v>
      </c>
      <c r="D11" s="4">
        <v>0</v>
      </c>
      <c r="E11" s="4">
        <v>0</v>
      </c>
      <c r="F11" s="4">
        <v>0</v>
      </c>
      <c r="G11" s="4">
        <v>0</v>
      </c>
      <c r="H11" s="4">
        <v>3</v>
      </c>
      <c r="I11" s="28">
        <v>3</v>
      </c>
    </row>
    <row r="12" spans="1:9" ht="15.75" customHeight="1" x14ac:dyDescent="0.25">
      <c r="B12" s="2" t="s">
        <v>65</v>
      </c>
      <c r="C12" s="5">
        <v>4</v>
      </c>
      <c r="D12" s="4">
        <v>4</v>
      </c>
      <c r="E12" s="4">
        <v>0</v>
      </c>
      <c r="F12" s="4">
        <v>0</v>
      </c>
      <c r="G12" s="4">
        <v>0</v>
      </c>
      <c r="H12" s="4">
        <v>0</v>
      </c>
      <c r="I12" s="28">
        <v>4</v>
      </c>
    </row>
    <row r="13" spans="1:9" ht="15.75" customHeight="1" x14ac:dyDescent="0.25">
      <c r="B13" s="2" t="s">
        <v>67</v>
      </c>
      <c r="C13" s="5">
        <v>4</v>
      </c>
      <c r="D13" s="4">
        <v>0</v>
      </c>
      <c r="E13" s="4">
        <v>4</v>
      </c>
      <c r="F13" s="4">
        <v>4</v>
      </c>
      <c r="G13" s="4">
        <v>0</v>
      </c>
      <c r="H13" s="4">
        <v>0</v>
      </c>
      <c r="I13" s="28">
        <v>8</v>
      </c>
    </row>
    <row r="14" spans="1:9" ht="15.75" customHeight="1" x14ac:dyDescent="0.25">
      <c r="B14" s="2" t="s">
        <v>70</v>
      </c>
      <c r="D14" s="4">
        <v>0</v>
      </c>
      <c r="E14" s="4">
        <v>0</v>
      </c>
      <c r="F14" s="4">
        <v>3</v>
      </c>
      <c r="G14" s="4">
        <v>3</v>
      </c>
      <c r="H14" s="4">
        <v>0</v>
      </c>
      <c r="I14" s="28">
        <v>6</v>
      </c>
    </row>
    <row r="15" spans="1:9" ht="15.75" customHeight="1" x14ac:dyDescent="0.25">
      <c r="B15" s="2" t="s">
        <v>72</v>
      </c>
      <c r="C15" s="5">
        <v>3</v>
      </c>
      <c r="D15" s="4">
        <v>0</v>
      </c>
      <c r="E15" s="4">
        <v>0</v>
      </c>
      <c r="F15" s="4">
        <v>0</v>
      </c>
      <c r="G15" s="4">
        <v>2</v>
      </c>
      <c r="H15" s="4">
        <v>3</v>
      </c>
      <c r="I15" s="28">
        <v>5</v>
      </c>
    </row>
    <row r="16" spans="1:9" ht="15.75" customHeight="1" x14ac:dyDescent="0.25">
      <c r="B16" s="2" t="s">
        <v>82</v>
      </c>
      <c r="C16" s="5">
        <v>3</v>
      </c>
      <c r="D16" s="4">
        <v>0</v>
      </c>
      <c r="E16" s="4">
        <v>0</v>
      </c>
      <c r="F16" s="4">
        <v>0</v>
      </c>
      <c r="G16" s="4">
        <v>3</v>
      </c>
      <c r="H16" s="4">
        <v>3</v>
      </c>
      <c r="I16" s="28">
        <v>6</v>
      </c>
    </row>
    <row r="17" spans="2:9" ht="15.75" customHeight="1" x14ac:dyDescent="0.25">
      <c r="B17" s="2" t="s">
        <v>84</v>
      </c>
      <c r="D17" s="4">
        <v>0</v>
      </c>
      <c r="E17" s="4">
        <v>0</v>
      </c>
      <c r="F17" s="4">
        <v>0</v>
      </c>
      <c r="G17" s="4">
        <v>0</v>
      </c>
      <c r="H17" s="4">
        <v>7</v>
      </c>
      <c r="I17" s="28">
        <v>7</v>
      </c>
    </row>
    <row r="18" spans="2:9" ht="15.75" customHeight="1" x14ac:dyDescent="0.25">
      <c r="B18" s="2" t="s">
        <v>86</v>
      </c>
      <c r="C18" s="5">
        <v>5</v>
      </c>
      <c r="D18" s="4">
        <v>0</v>
      </c>
      <c r="E18" s="4">
        <v>0</v>
      </c>
      <c r="F18" s="4">
        <v>0</v>
      </c>
      <c r="G18" s="4">
        <v>0</v>
      </c>
      <c r="H18" s="4">
        <v>5</v>
      </c>
      <c r="I18" s="28">
        <v>5</v>
      </c>
    </row>
    <row r="19" spans="2:9" ht="15.75" customHeight="1" x14ac:dyDescent="0.25">
      <c r="B19" s="2" t="s">
        <v>88</v>
      </c>
      <c r="C19" s="5">
        <v>5</v>
      </c>
      <c r="D19" s="4">
        <v>0</v>
      </c>
      <c r="E19" s="4">
        <v>0</v>
      </c>
      <c r="F19" s="4">
        <v>0</v>
      </c>
      <c r="G19" s="4">
        <v>0</v>
      </c>
      <c r="H19" s="4">
        <v>3</v>
      </c>
      <c r="I19" s="28">
        <v>3</v>
      </c>
    </row>
    <row r="20" spans="2:9" ht="15.75" customHeight="1" x14ac:dyDescent="0.25">
      <c r="B20" s="6" t="s">
        <v>24</v>
      </c>
      <c r="C20">
        <f>SUM(C4:C19)</f>
        <v>49</v>
      </c>
      <c r="D20" s="3" t="e">
        <f>#REF!- SUM(D4:D6,D8:D9,D11:D13,D15:D16, D18:D19,#REF!,#REF!,#REF!,#REF!)</f>
        <v>#REF!</v>
      </c>
      <c r="E20" s="3" t="e">
        <f>D20- SUM(E4:E6,E8:E9,E11:E13,E15:E16, E18:E19,#REF!,#REF!,#REF!,#REF!)</f>
        <v>#REF!</v>
      </c>
      <c r="F20" s="3" t="e">
        <f>E20- SUM(F4:F6,F8:F9,F11:F13,F15:F16, F18:F19,#REF!,#REF!,#REF!,#REF!)</f>
        <v>#REF!</v>
      </c>
      <c r="G20" s="3" t="e">
        <f>F20- SUM(G4:G6,G8:G9,G11:G13,G15:G16, G18:G19,#REF!,#REF!,#REF!,#REF!)</f>
        <v>#REF!</v>
      </c>
      <c r="H20" s="3" t="e">
        <f>G20- SUM(H4:H6,H8:H9,H11:H13,H15:H16, H18:H19,#REF!,#REF!,#REF!,#REF!)</f>
        <v>#REF!</v>
      </c>
      <c r="I20" s="29">
        <f>SUM(D8:H8)</f>
        <v>6</v>
      </c>
    </row>
    <row r="21" spans="2:9" ht="15.75" customHeight="1" x14ac:dyDescent="0.25">
      <c r="B21" s="6" t="s">
        <v>25</v>
      </c>
      <c r="C21">
        <f>SUM(C4:C19)</f>
        <v>49</v>
      </c>
      <c r="D21" s="18" t="e">
        <f>#REF!-( SUM($C$4:$C$6,$C$8:$C$9,$C$11:$C$13,$C$15:$C$16,$C$18:$C$19:#REF!,#REF!,#REF!)/30)</f>
        <v>#REF!</v>
      </c>
      <c r="E21" s="18" t="e">
        <f>D21-( SUM($C$4:$C$6,$C$8:$C$9,$C$11:$C$13,$C$15:$C$16,$C$18:$C$19:#REF!,#REF!,#REF!)/30)</f>
        <v>#REF!</v>
      </c>
      <c r="F21" s="18" t="e">
        <f>E21-( SUM($C$4:$C$6,$C$8:$C$9,$C$11:$C$13,$C$15:$C$16,$C$18:$C$19:#REF!,#REF!,#REF!)/30)</f>
        <v>#REF!</v>
      </c>
      <c r="G21" s="18" t="e">
        <f>F21-( SUM($C$4:$C$6,$C$8:$C$9,$C$11:$C$13,$C$15:$C$16,$C$18:$C$19:#REF!,#REF!,#REF!)/30)</f>
        <v>#REF!</v>
      </c>
      <c r="H21" s="18" t="e">
        <f>G21-( SUM($C$4:$C$6,$C$8:$C$9,$C$11:$C$13,$C$15:$C$16,$C$18:$C$19:#REF!,#REF!,#REF!)/30)</f>
        <v>#REF!</v>
      </c>
      <c r="I21" s="29">
        <f>SUM(D9:H9)</f>
        <v>7</v>
      </c>
    </row>
    <row r="22" spans="2:9" ht="15.75" customHeight="1" x14ac:dyDescent="0.25">
      <c r="B22" s="19"/>
      <c r="C22" s="19"/>
    </row>
    <row r="23" spans="2:9" ht="15.75" customHeight="1" x14ac:dyDescent="0.25">
      <c r="B23" s="19"/>
      <c r="C23" s="19"/>
    </row>
    <row r="24" spans="2:9" ht="15.75" customHeight="1" x14ac:dyDescent="0.25">
      <c r="B24" s="19"/>
      <c r="C24" s="19"/>
    </row>
    <row r="25" spans="2:9" ht="15.75" customHeight="1" x14ac:dyDescent="0.25">
      <c r="B25" s="19"/>
      <c r="C25" s="19"/>
    </row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Leo Bolaños</cp:lastModifiedBy>
  <dcterms:created xsi:type="dcterms:W3CDTF">2023-06-05T13:12:31Z</dcterms:created>
  <dcterms:modified xsi:type="dcterms:W3CDTF">2026-02-02T17:07:17Z</dcterms:modified>
</cp:coreProperties>
</file>