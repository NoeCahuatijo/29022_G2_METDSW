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eval\Downloads\"/>
    </mc:Choice>
  </mc:AlternateContent>
  <xr:revisionPtr revIDLastSave="0" documentId="13_ncr:1_{B00636A6-C027-4DD2-AFE3-4B4269611AE9}" xr6:coauthVersionLast="47" xr6:coauthVersionMax="47" xr10:uidLastSave="{00000000-0000-0000-0000-000000000000}"/>
  <bookViews>
    <workbookView xWindow="-120" yWindow="-120" windowWidth="24240" windowHeight="145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<sst xmlns="http://schemas.openxmlformats.org/spreadsheetml/2006/main" count="228" uniqueCount="159">
  <si>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</si>
  <si>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</si>
  <si>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</si>
  <si>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</si>
  <si>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</si>
  <si>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</si>
  <si>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</si>
  <si>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</si>
  <si>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</si>
  <si>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</si>
  <si>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</si>
  <si>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</si>
  <si>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</si>
  <si>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</si>
  <si>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</si>
  <si>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</si>
  <si>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Jelen Lucio </t>
  </si>
  <si>
    <t>Alta</t>
  </si>
  <si>
    <t>En proceso</t>
  </si>
  <si>
    <t>REQ002</t>
  </si>
  <si>
    <t>Noe Cahuatijo</t>
  </si>
  <si>
    <t>No iniciado</t>
  </si>
  <si>
    <t>REQ003</t>
  </si>
  <si>
    <t>Cevallos Bryan</t>
  </si>
  <si>
    <t xml:space="preserve">Media </t>
  </si>
  <si>
    <t>REQ004</t>
  </si>
  <si>
    <t>Leopoldo Bolaños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</si>
  <si>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</si>
  <si>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</si>
  <si>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</si>
  <si>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</si>
  <si>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</si>
  <si>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</si>
  <si>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</si>
  <si>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</si>
  <si>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</si>
  <si>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</si>
  <si>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</si>
  <si>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</si>
  <si>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REQ005</t>
  </si>
  <si>
    <t>REQ006</t>
  </si>
  <si>
    <t>REQ007</t>
  </si>
  <si>
    <t>REQ008</t>
  </si>
  <si>
    <t>REQ009</t>
  </si>
  <si>
    <t>REQ010</t>
  </si>
  <si>
    <t>REQ011</t>
  </si>
  <si>
    <t>REQ012</t>
  </si>
  <si>
    <t>REQ013</t>
  </si>
  <si>
    <t>REQ014</t>
  </si>
  <si>
    <t>REQ015</t>
  </si>
  <si>
    <t>REQ016</t>
  </si>
  <si>
    <t>El sistema no controla el acceso.</t>
  </si>
  <si>
    <t>El sistema debe solicitar login y permitir cerrar sesión.</t>
  </si>
  <si>
    <t>Garantizar acceso seguro y controlado.</t>
  </si>
  <si>
    <t xml:space="preserve">Administrador </t>
  </si>
  <si>
    <t>Diseñar una pantalla de entrada que pida usuario y clave. Programar la verificación interna para que solo deje pasar si los datos coinciden con los registrados.</t>
  </si>
  <si>
    <t>No existe registro formal de productos.</t>
  </si>
  <si>
    <t>El sistema deberá registrar y editar productos con validaciones.</t>
  </si>
  <si>
    <t>Mantener ficha técnica completa de cada producto.</t>
  </si>
  <si>
    <t>Administrador</t>
  </si>
  <si>
    <t>Crear formulario para SKU, Nombre y Precio; validar SKU único; stock y costo inicial en 0.</t>
  </si>
  <si>
    <t>No existe vista clara del catálogo ni de su estado.</t>
  </si>
  <si>
    <t>El sistema deberá listar productos y permitir buscarlos/activar/desactivar.</t>
  </si>
  <si>
    <t>Gestionar disponibilidad y consulta del inventario.</t>
  </si>
  <si>
    <t>administrador.</t>
  </si>
  <si>
    <t>Crear tabla de productos, buscador por SKU/Nombre, opción de desactivar  y reactivar.</t>
  </si>
  <si>
    <t>No existe categorización de productos</t>
  </si>
  <si>
    <t>El sistema deberá clasificar por Categorías o Familias de productos.</t>
  </si>
  <si>
    <t>Organizar el inventario lógicamente  para agilizar la gestión.</t>
  </si>
  <si>
    <t>Crear una ventana pequeña para registrar nombres de categorías. Luego, agregar una lista desplegable en la ficha del producto para poder clasificarlo al momento de crearlo.</t>
  </si>
  <si>
    <t>Las salidas de inventario no especifican el motivo.</t>
  </si>
  <si>
    <t>El sistema deberá permitir registrar salidas con motivos específicos: venta, devolución a proveedor, merma, producto dañado.</t>
  </si>
  <si>
    <t>Tener control detallado de por qué sale mercadería del inventario.</t>
  </si>
  <si>
    <t>Crear formulario de salidas con campos: producto, cantidad, motivo (desplegable: venta/devolución/merma/daño), observaciones, usuario_responsable (automático), fecha_hora (automática).</t>
  </si>
  <si>
    <t>No existe control del historial de movimientos de inventario.</t>
  </si>
  <si>
    <t>El sistema deberá registrar automáticamente cada movimiento (entrada, salida, edición).</t>
  </si>
  <si>
    <t>Garantizar trazabilidad y auditoría del inventario.</t>
  </si>
  <si>
    <t>Crear un módulo que registre fecha, hora, usuario, tipo de movimiento, producto afectado y cantidad; mostrar en una tabla filtrable.</t>
  </si>
  <si>
    <t>Actualmente cualquier persona puede entrar al sistema y ver todo sin restricciones.</t>
  </si>
  <si>
    <t>El sistema deberá permitir registrar usuarios nuevos con usuario, clave y un rol específico.</t>
  </si>
  <si>
    <t>Controlar quién entra al sistema y proteger la información delicada del negocio.</t>
  </si>
  <si>
    <t>Crear pantalla de gestión de usuarios. Programar la encriptación de la contraseña y el selector de rol (Admin o Vendedor).</t>
  </si>
  <si>
    <t>No se tiene a la mano la información de contacto de quién nos vende la mercadería.</t>
  </si>
  <si>
    <t>El sistema deberá permitir registrar, ver y borrar los datos de los proveedores.</t>
  </si>
  <si>
    <t>Tener los contactos centralizados para llamar rápido cuando falte stock.</t>
  </si>
  <si>
    <t>Crear formulario que pida RUC y Nombre obligatorio. Validar que el RUC no se repita y mostrar lista de proveedores.</t>
  </si>
  <si>
    <t>No sabemos quién nos compra ni tenemos base de datos de clientes para marketing.</t>
  </si>
  <si>
    <r>
      <t xml:space="preserve">El sistema deberá permitir registrar, editar y buscar </t>
    </r>
    <r>
      <rPr>
        <b/>
        <sz val="10"/>
        <color rgb="FF1F1F1F"/>
        <rFont val="Calibri"/>
        <family val="2"/>
      </rPr>
      <t>Clientes</t>
    </r>
    <r>
      <rPr>
        <sz val="10"/>
        <color rgb="FF1F1F1F"/>
        <rFont val="Calibri"/>
        <family val="2"/>
      </rPr>
      <t xml:space="preserve"> (Cédula/RUC, Nombre, Dirección).</t>
    </r>
  </si>
  <si>
    <t>Fidelizar clientes y agilizar la facturación teniendo sus datos guardados.</t>
  </si>
  <si>
    <t>Crear tabla Clientes. Formulario CRUD con validación de Cédula/RUC ecuatoriana (10 o 13 dígitos).</t>
  </si>
  <si>
    <t>El proceso de venta es manual y propenso a errores de cálculo.</t>
  </si>
  <si>
    <t>El sistema deberá tener una interfaz de Punto de Venta (POS) ágil.</t>
  </si>
  <si>
    <t>Realizar ventas rápidas, calculando subtotales, IVA y cambio automáticamente.</t>
  </si>
  <si>
    <t>Crear pantalla de ventas: buscador de productos, agregar al "carrito", cálculo automático de totales y botón de "Cobrar".</t>
  </si>
  <si>
    <t>No se entrega ningún comprobante físico al cliente tras la compra.</t>
  </si>
  <si>
    <t>Cumplir con requisitos legales básicos y dar garantía al cliente de su compra.</t>
  </si>
  <si>
    <t>Diseñar reporte PDF formato "Ticket" (80mm) o A4 que incluya datos del negocio, cliente, detalle y totales.</t>
  </si>
  <si>
    <t>Al final del día no se sabe si falta o sobra dinero en el cajón.</t>
  </si>
  <si>
    <t>El sistema deberá permitir realizar un Corte de Caja (Cierre diario).</t>
  </si>
  <si>
    <t>Controlar el flujo de efectivo y detectar robos o errores humanos en los cobros.</t>
  </si>
  <si>
    <t>Crear reporte que sume todas las ventas del día y permita al cajero ingresar cuánto dinero tiene físicamente para comparar.</t>
  </si>
  <si>
    <t>Las entradas de stock se hacen "mágicamente" sin asociarlas a un proveedor.</t>
  </si>
  <si>
    <t>El sistema deberá gestionar Órdenes de Compra vinculadas a un proveedor.</t>
  </si>
  <si>
    <t>Saber qué proveedor nos vendió qué lote y actualizar el costo promedio.</t>
  </si>
  <si>
    <t>Crear módulo de "Entrada por Compra": seleccionar proveedor, agregar productos y costos individuales. Actualizar stock.</t>
  </si>
  <si>
    <t>Se fía mercadería a clientes de confianza pero se anota en cuadernos que se pierden.</t>
  </si>
  <si>
    <t>El sistema deberá manejar Cuentas por Cobrar (Créditos).</t>
  </si>
  <si>
    <t>Llevar un control digital de quién nos debe dinero, cuánto y desde cuándo.</t>
  </si>
  <si>
    <t>Admin / Vendedor</t>
  </si>
  <si>
    <t>Agregar opción de pago "A Crédito" en el POS. Crear pantalla para ver deudores y registrar abonos a la deuda.</t>
  </si>
  <si>
    <t>Es difícil entender si el negocio va bien solo mirando tablas de números.</t>
  </si>
  <si>
    <t>El sistema deberá tener un Dashboard Gráfico Avanzado.</t>
  </si>
  <si>
    <t>Visualizar tendencias de ventas, productos más vendidos y ganancias semanales de un vistazo.</t>
  </si>
  <si>
    <t>Implementar gráficos (Matplotlib o Canvas) en el inicio: Barras de ventas por día, Torta de categorías más vendidas.</t>
  </si>
  <si>
    <t>No se pueden cambiar parámetros básicos (como el % de IVA) sin llamar al programador.</t>
  </si>
  <si>
    <t>El sistema deberá tener un módulo de Configuración Global.</t>
  </si>
  <si>
    <t>Permitir al dueño cambiar datos de la empresa, logo y tasa de impuestos fácilmente.</t>
  </si>
  <si>
    <t>Crear formulario de configuración que guarde en un JSON o Tabla: Nombre Empresa, RUC, Dirección, % IVA actual.</t>
  </si>
  <si>
    <t>Bryan Cevallos</t>
  </si>
  <si>
    <t>Jelen Lucio</t>
  </si>
  <si>
    <t>Leocadio Bolaños</t>
  </si>
  <si>
    <t>Sprint1</t>
  </si>
  <si>
    <t>Sprint 1</t>
  </si>
  <si>
    <t>Sprint 2</t>
  </si>
  <si>
    <t>Sprint 3</t>
  </si>
  <si>
    <t>Sprint 4</t>
  </si>
  <si>
    <t>Se valida usuario/contraseña; cierre de sesión retorna al login</t>
  </si>
  <si>
    <t>Inicio de sesión seguro</t>
  </si>
  <si>
    <t>Registrar con SKU repetido da error; alta correcta almacena en BD con stock/costo=0.</t>
  </si>
  <si>
    <t>Ingreso y validacion de productos</t>
  </si>
  <si>
    <t>Búsqueda funciona; estado cambia correctamente sin eliminar el registro.</t>
  </si>
  <si>
    <t>Catálogo y Estados</t>
  </si>
  <si>
    <t>Al crear un producto, debe existir un menú desplegable que permita seleccionar o crear su categoría.</t>
  </si>
  <si>
    <t>Categorización de productos</t>
  </si>
  <si>
    <t>Registrar salidas con diferentes motivos y verificar que cada motivo queda correctamente guardado. Generar reporte de salidas por motivo.</t>
  </si>
  <si>
    <t>Registro de salidas con motivos</t>
  </si>
  <si>
    <t>Se realiza un movimiento y se verifica que aparezca en el historial con todos los datos correspondientes.</t>
  </si>
  <si>
    <t>Historial de movimientos de inventario</t>
  </si>
  <si>
    <t>Se crea un usuario nuevo, se intenta ingresar con él y se verifica que tenga los permisos correctos.</t>
  </si>
  <si>
    <t>Gestión de Usuarios y Accesos</t>
  </si>
  <si>
    <t>Ingresar datos de un proveedor, guardar y revisar que aparezca en la lista general.</t>
  </si>
  <si>
    <t>Directorio de Proveedores</t>
  </si>
  <si>
    <t>Registrar un cliente nuevo, guardarlo, buscarlo en la lista y tratar de crear otro con la misma cédula (debe dar error de duplicado).</t>
  </si>
  <si>
    <t>Gestión de Clientes</t>
  </si>
  <si>
    <t>Agregar 3 productos distintos al carrito, verificar que la suma total sea correcta y al dar clic en "Cobrar", verificar que el stock disminuya en el inventario.</t>
  </si>
  <si>
    <t>Interfaz de Punto de Venta</t>
  </si>
  <si>
    <t>Realizar una venta y abrir el archivo PDF generado; verificar que aparezcan los mismos productos, precios y el nombre del cliente seleccionado.</t>
  </si>
  <si>
    <t>Emisión de Comprobantes</t>
  </si>
  <si>
    <t>Hacer ventas por $100. Ir al módulo de Cierre, ingresar que se tienen $100 físicos y verificar que el sistema muestre "Diferencia: $0.00".</t>
  </si>
  <si>
    <t>Cierre de Caja Diario</t>
  </si>
  <si>
    <t>Registrar una compra de 10 unidades de un producto que tenía stock 0. Verificar que el stock suba a 10 y que el historial muestre "Entrada por Compra".</t>
  </si>
  <si>
    <t>Gestión de Compras</t>
  </si>
  <si>
    <t>Realizar una venta seleccionando pago "Crédito". Ir a la lista de deudores, verificar que aparezca el cliente y registrar un abono parcial.</t>
  </si>
  <si>
    <t>Módulo de Cuentas por Cobrar</t>
  </si>
  <si>
    <t>Realizar varias ventas de la categoría "Motor" y verificar que la barra correspondiente en el gráfico aumente de tamaño inmediatamente.</t>
  </si>
  <si>
    <t>Dashboard y Analítica</t>
  </si>
  <si>
    <t>Cambiar el IVA al 15% en configuración. Ir al Punto de Venta, agregar un producto de $100 y verificar que el total suba a $115 automáticamente.</t>
  </si>
  <si>
    <t>Configuración del Sistema</t>
  </si>
  <si>
    <t>El sistema deberá generar e imprimir (o guardar ) un Ticket de Venta o Factura.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</si>
</sst>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u/>
      <sz val="16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  <scheme val="minor"/>
    </font>
    <font>
      <sz val="10"/>
      <color rgb="FF1F1F1F"/>
      <name val="Calibri"/>
      <family val="2"/>
    </font>
    <font>
      <b/>
      <sz val="10"/>
      <color rgb="FF1F1F1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4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7B7B7B"/>
      </right>
      <top style="thin">
        <color rgb="FF7B7B7B"/>
      </top>
      <bottom style="thin">
        <color indexed="64"/>
      </bottom>
      <diagonal/>
    </border>
    <border>
      <left style="thin">
        <color rgb="FF7B7B7B"/>
      </left>
      <right/>
      <top style="thin">
        <color rgb="FF7B7B7B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2" fillId="0" borderId="0" xfId="0" applyFont="1"/>
    <xf numFmtId="0" fontId="7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11" xfId="0" applyFont="1" applyFill="1" applyBorder="1"/>
    <xf numFmtId="0" fontId="8" fillId="3" borderId="12" xfId="0" applyFont="1" applyFill="1" applyBorder="1" applyAlignment="1">
      <alignment horizontal="left" vertical="center" wrapText="1"/>
    </xf>
    <xf numFmtId="0" fontId="1" fillId="3" borderId="12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vertical="center"/>
    </xf>
    <xf numFmtId="0" fontId="2" fillId="3" borderId="15" xfId="0" applyFont="1" applyFill="1" applyBorder="1"/>
    <xf numFmtId="0" fontId="2" fillId="3" borderId="16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/>
    </xf>
    <xf numFmtId="0" fontId="13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34" xfId="0" applyFont="1" applyFill="1" applyBorder="1"/>
    <xf numFmtId="0" fontId="2" fillId="3" borderId="35" xfId="0" applyFont="1" applyFill="1" applyBorder="1"/>
    <xf numFmtId="0" fontId="2" fillId="3" borderId="36" xfId="0" applyFont="1" applyFill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11" fillId="4" borderId="18" xfId="0" applyFont="1" applyFill="1" applyBorder="1" applyAlignment="1">
      <alignment horizontal="center" vertical="center"/>
    </xf>
    <xf numFmtId="0" fontId="10" fillId="0" borderId="19" xfId="0" applyFont="1" applyBorder="1"/>
    <xf numFmtId="0" fontId="10" fillId="0" borderId="22" xfId="0" applyFont="1" applyBorder="1"/>
    <xf numFmtId="0" fontId="10" fillId="0" borderId="23" xfId="0" applyFont="1" applyBorder="1"/>
    <xf numFmtId="0" fontId="10" fillId="0" borderId="25" xfId="0" applyFont="1" applyBorder="1"/>
    <xf numFmtId="0" fontId="10" fillId="0" borderId="26" xfId="0" applyFont="1" applyBorder="1"/>
    <xf numFmtId="0" fontId="1" fillId="5" borderId="18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7" xfId="0" applyFont="1" applyBorder="1"/>
    <xf numFmtId="0" fontId="11" fillId="4" borderId="8" xfId="0" applyFont="1" applyFill="1" applyBorder="1" applyAlignment="1">
      <alignment horizontal="center" vertical="center"/>
    </xf>
    <xf numFmtId="0" fontId="10" fillId="0" borderId="10" xfId="0" applyFont="1" applyBorder="1"/>
    <xf numFmtId="0" fontId="1" fillId="5" borderId="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4" xfId="0" applyFont="1" applyBorder="1"/>
    <xf numFmtId="0" fontId="13" fillId="2" borderId="28" xfId="0" applyFont="1" applyFill="1" applyBorder="1" applyAlignment="1">
      <alignment horizontal="center" vertical="center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4" fillId="7" borderId="1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10" fillId="0" borderId="9" xfId="0" applyFont="1" applyBorder="1"/>
    <xf numFmtId="0" fontId="6" fillId="0" borderId="15" xfId="0" applyFont="1" applyBorder="1" applyAlignment="1">
      <alignment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/>
    </xf>
    <xf numFmtId="14" fontId="6" fillId="0" borderId="37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6" workbookViewId="0">
      <selection activeCell="O20" sqref="O20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2" t="s">
        <v>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62.25" customHeight="1" x14ac:dyDescent="0.2">
      <c r="B6" s="81" t="s">
        <v>15</v>
      </c>
      <c r="C6" s="71" t="s">
        <v>51</v>
      </c>
      <c r="D6" s="72" t="s">
        <v>52</v>
      </c>
      <c r="E6" s="14" t="s">
        <v>53</v>
      </c>
      <c r="F6" s="13" t="s">
        <v>108</v>
      </c>
      <c r="G6" s="8" t="s">
        <v>55</v>
      </c>
      <c r="H6" s="8" t="s">
        <v>16</v>
      </c>
      <c r="I6" s="8">
        <v>4</v>
      </c>
      <c r="J6" s="10" t="s">
        <v>121</v>
      </c>
      <c r="K6" s="11" t="s">
        <v>17</v>
      </c>
      <c r="L6" s="12" t="s">
        <v>28</v>
      </c>
      <c r="M6" s="11" t="s">
        <v>126</v>
      </c>
      <c r="N6" s="70"/>
      <c r="O6" s="17" t="s">
        <v>127</v>
      </c>
    </row>
    <row r="7" spans="1:26" ht="76.5" customHeight="1" x14ac:dyDescent="0.2">
      <c r="B7" s="7" t="s">
        <v>19</v>
      </c>
      <c r="C7" s="70" t="s">
        <v>56</v>
      </c>
      <c r="D7" s="70" t="s">
        <v>57</v>
      </c>
      <c r="E7" s="70" t="s">
        <v>58</v>
      </c>
      <c r="F7" s="12" t="s">
        <v>64</v>
      </c>
      <c r="G7" s="70" t="s">
        <v>60</v>
      </c>
      <c r="H7" s="70" t="s">
        <v>118</v>
      </c>
      <c r="I7" s="70">
        <v>6</v>
      </c>
      <c r="J7" s="78" t="s">
        <v>122</v>
      </c>
      <c r="K7" s="8" t="s">
        <v>17</v>
      </c>
      <c r="L7" s="12" t="s">
        <v>28</v>
      </c>
      <c r="M7" s="70" t="s">
        <v>128</v>
      </c>
      <c r="N7" s="70"/>
      <c r="O7" s="70" t="s">
        <v>129</v>
      </c>
    </row>
    <row r="8" spans="1:26" ht="67.5" customHeight="1" x14ac:dyDescent="0.2">
      <c r="A8" s="16"/>
      <c r="B8" s="7" t="s">
        <v>22</v>
      </c>
      <c r="C8" s="71" t="s">
        <v>61</v>
      </c>
      <c r="D8" s="72" t="s">
        <v>62</v>
      </c>
      <c r="E8" s="12" t="s">
        <v>63</v>
      </c>
      <c r="F8" s="13" t="s">
        <v>108</v>
      </c>
      <c r="G8" s="12" t="s">
        <v>65</v>
      </c>
      <c r="H8" s="12" t="s">
        <v>26</v>
      </c>
      <c r="I8" s="12">
        <v>6</v>
      </c>
      <c r="J8" s="12" t="s">
        <v>122</v>
      </c>
      <c r="K8" s="11" t="s">
        <v>17</v>
      </c>
      <c r="L8" s="12" t="s">
        <v>28</v>
      </c>
      <c r="M8" s="12" t="s">
        <v>130</v>
      </c>
      <c r="N8" s="12"/>
      <c r="O8" s="12" t="s">
        <v>131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86.25" customHeight="1" x14ac:dyDescent="0.2">
      <c r="B9" s="7" t="s">
        <v>25</v>
      </c>
      <c r="C9" s="69" t="s">
        <v>66</v>
      </c>
      <c r="D9" s="12" t="s">
        <v>67</v>
      </c>
      <c r="E9" s="14" t="s">
        <v>68</v>
      </c>
      <c r="F9" s="13" t="s">
        <v>54</v>
      </c>
      <c r="G9" s="8" t="s">
        <v>69</v>
      </c>
      <c r="H9" s="8" t="s">
        <v>20</v>
      </c>
      <c r="I9" s="8">
        <v>6</v>
      </c>
      <c r="J9" s="10" t="s">
        <v>122</v>
      </c>
      <c r="K9" s="8" t="s">
        <v>17</v>
      </c>
      <c r="L9" s="12" t="s">
        <v>28</v>
      </c>
      <c r="M9" s="8" t="s">
        <v>132</v>
      </c>
      <c r="N9" s="15"/>
      <c r="O9" s="9" t="s">
        <v>133</v>
      </c>
    </row>
    <row r="10" spans="1:26" ht="72" customHeight="1" x14ac:dyDescent="0.2">
      <c r="B10" s="7" t="s">
        <v>39</v>
      </c>
      <c r="C10" s="70" t="s">
        <v>70</v>
      </c>
      <c r="D10" s="70" t="s">
        <v>71</v>
      </c>
      <c r="E10" s="70" t="s">
        <v>72</v>
      </c>
      <c r="F10" s="13" t="s">
        <v>108</v>
      </c>
      <c r="G10" s="70" t="s">
        <v>73</v>
      </c>
      <c r="H10" s="70" t="s">
        <v>16</v>
      </c>
      <c r="I10" s="70">
        <v>6</v>
      </c>
      <c r="J10" s="78" t="s">
        <v>123</v>
      </c>
      <c r="K10" s="11" t="s">
        <v>17</v>
      </c>
      <c r="L10" s="12" t="s">
        <v>28</v>
      </c>
      <c r="M10" s="70" t="s">
        <v>134</v>
      </c>
      <c r="N10" s="70"/>
      <c r="O10" s="70" t="s">
        <v>135</v>
      </c>
    </row>
    <row r="11" spans="1:26" ht="65.25" customHeight="1" x14ac:dyDescent="0.2">
      <c r="B11" s="7" t="s">
        <v>40</v>
      </c>
      <c r="C11" s="73" t="s">
        <v>74</v>
      </c>
      <c r="D11" s="74" t="s">
        <v>75</v>
      </c>
      <c r="E11" s="75" t="s">
        <v>76</v>
      </c>
      <c r="F11" s="79" t="s">
        <v>108</v>
      </c>
      <c r="G11" s="74" t="s">
        <v>77</v>
      </c>
      <c r="H11" s="77" t="s">
        <v>20</v>
      </c>
      <c r="I11" s="77">
        <v>7</v>
      </c>
      <c r="J11" s="78" t="s">
        <v>123</v>
      </c>
      <c r="K11" s="11" t="s">
        <v>17</v>
      </c>
      <c r="L11" s="12" t="s">
        <v>28</v>
      </c>
      <c r="M11" s="74" t="s">
        <v>136</v>
      </c>
      <c r="N11" s="77"/>
      <c r="O11" s="77" t="s">
        <v>137</v>
      </c>
    </row>
    <row r="12" spans="1:26" ht="80.25" customHeight="1" x14ac:dyDescent="0.2">
      <c r="B12" s="7" t="s">
        <v>41</v>
      </c>
      <c r="C12" s="76" t="s">
        <v>78</v>
      </c>
      <c r="D12" s="76" t="s">
        <v>79</v>
      </c>
      <c r="E12" s="76" t="s">
        <v>80</v>
      </c>
      <c r="F12" s="76" t="s">
        <v>59</v>
      </c>
      <c r="G12" s="76" t="s">
        <v>81</v>
      </c>
      <c r="H12" s="76" t="s">
        <v>20</v>
      </c>
      <c r="I12" s="76">
        <v>5</v>
      </c>
      <c r="J12" s="78" t="s">
        <v>123</v>
      </c>
      <c r="K12" s="8" t="s">
        <v>17</v>
      </c>
      <c r="L12" s="12" t="s">
        <v>28</v>
      </c>
      <c r="M12" s="76" t="s">
        <v>138</v>
      </c>
      <c r="N12" s="76"/>
      <c r="O12" s="76" t="s">
        <v>139</v>
      </c>
    </row>
    <row r="13" spans="1:26" ht="73.5" customHeight="1" x14ac:dyDescent="0.2">
      <c r="B13" s="7" t="s">
        <v>42</v>
      </c>
      <c r="C13" s="76" t="s">
        <v>82</v>
      </c>
      <c r="D13" s="76" t="s">
        <v>83</v>
      </c>
      <c r="E13" s="76" t="s">
        <v>84</v>
      </c>
      <c r="F13" s="76" t="s">
        <v>59</v>
      </c>
      <c r="G13" s="76" t="s">
        <v>85</v>
      </c>
      <c r="H13" s="76" t="s">
        <v>20</v>
      </c>
      <c r="I13" s="76">
        <v>3</v>
      </c>
      <c r="J13" s="78" t="s">
        <v>123</v>
      </c>
      <c r="K13" s="11" t="s">
        <v>17</v>
      </c>
      <c r="L13" s="12" t="s">
        <v>28</v>
      </c>
      <c r="M13" s="76" t="s">
        <v>140</v>
      </c>
      <c r="N13" s="76"/>
      <c r="O13" s="76" t="s">
        <v>141</v>
      </c>
    </row>
    <row r="14" spans="1:26" ht="63" customHeight="1" x14ac:dyDescent="0.2">
      <c r="B14" s="7" t="s">
        <v>43</v>
      </c>
      <c r="C14" s="76" t="s">
        <v>86</v>
      </c>
      <c r="D14" s="76" t="s">
        <v>87</v>
      </c>
      <c r="E14" s="76" t="s">
        <v>88</v>
      </c>
      <c r="F14" s="13" t="s">
        <v>108</v>
      </c>
      <c r="G14" s="76" t="s">
        <v>89</v>
      </c>
      <c r="H14" s="76" t="s">
        <v>20</v>
      </c>
      <c r="I14" s="76">
        <v>4</v>
      </c>
      <c r="J14" s="76" t="s">
        <v>124</v>
      </c>
      <c r="K14" s="8" t="s">
        <v>17</v>
      </c>
      <c r="L14" s="12" t="s">
        <v>28</v>
      </c>
      <c r="M14" s="76" t="s">
        <v>142</v>
      </c>
      <c r="N14" s="76"/>
      <c r="O14" s="76" t="s">
        <v>143</v>
      </c>
    </row>
    <row r="15" spans="1:26" ht="84.75" customHeight="1" x14ac:dyDescent="0.2">
      <c r="B15" s="7" t="s">
        <v>44</v>
      </c>
      <c r="C15" s="76" t="s">
        <v>90</v>
      </c>
      <c r="D15" s="76" t="s">
        <v>91</v>
      </c>
      <c r="E15" s="76" t="s">
        <v>92</v>
      </c>
      <c r="F15" s="13" t="s">
        <v>108</v>
      </c>
      <c r="G15" s="76" t="s">
        <v>93</v>
      </c>
      <c r="H15" s="76" t="s">
        <v>119</v>
      </c>
      <c r="I15" s="76">
        <v>8</v>
      </c>
      <c r="J15" s="76" t="s">
        <v>124</v>
      </c>
      <c r="K15" s="11" t="s">
        <v>17</v>
      </c>
      <c r="L15" s="12" t="s">
        <v>28</v>
      </c>
      <c r="M15" s="76" t="s">
        <v>144</v>
      </c>
      <c r="N15" s="76"/>
      <c r="O15" s="76" t="s">
        <v>145</v>
      </c>
    </row>
    <row r="16" spans="1:26" ht="99.75" customHeight="1" x14ac:dyDescent="0.2">
      <c r="B16" s="7" t="s">
        <v>45</v>
      </c>
      <c r="C16" s="76" t="s">
        <v>94</v>
      </c>
      <c r="D16" s="76" t="s">
        <v>158</v>
      </c>
      <c r="E16" s="76" t="s">
        <v>95</v>
      </c>
      <c r="F16" s="13" t="s">
        <v>108</v>
      </c>
      <c r="G16" s="76" t="s">
        <v>96</v>
      </c>
      <c r="H16" s="76" t="s">
        <v>23</v>
      </c>
      <c r="I16" s="76">
        <v>6</v>
      </c>
      <c r="J16" s="76" t="s">
        <v>124</v>
      </c>
      <c r="K16" s="8" t="s">
        <v>17</v>
      </c>
      <c r="L16" s="12" t="s">
        <v>28</v>
      </c>
      <c r="M16" s="76" t="s">
        <v>146</v>
      </c>
      <c r="N16" s="76"/>
      <c r="O16" s="76" t="s">
        <v>147</v>
      </c>
    </row>
    <row r="17" spans="2:15" ht="81.75" customHeight="1" x14ac:dyDescent="0.2">
      <c r="B17" s="7" t="s">
        <v>46</v>
      </c>
      <c r="C17" s="76" t="s">
        <v>97</v>
      </c>
      <c r="D17" s="76" t="s">
        <v>98</v>
      </c>
      <c r="E17" s="76" t="s">
        <v>99</v>
      </c>
      <c r="F17" s="13" t="s">
        <v>108</v>
      </c>
      <c r="G17" s="76" t="s">
        <v>100</v>
      </c>
      <c r="H17" s="76" t="s">
        <v>120</v>
      </c>
      <c r="I17" s="76">
        <v>5</v>
      </c>
      <c r="J17" s="76" t="s">
        <v>124</v>
      </c>
      <c r="K17" s="11" t="s">
        <v>17</v>
      </c>
      <c r="L17" s="12" t="s">
        <v>28</v>
      </c>
      <c r="M17" s="76" t="s">
        <v>148</v>
      </c>
      <c r="N17" s="76"/>
      <c r="O17" s="76" t="s">
        <v>149</v>
      </c>
    </row>
    <row r="18" spans="2:15" ht="63.75" customHeight="1" x14ac:dyDescent="0.2">
      <c r="B18" s="7" t="s">
        <v>47</v>
      </c>
      <c r="C18" s="76" t="s">
        <v>101</v>
      </c>
      <c r="D18" s="76" t="s">
        <v>102</v>
      </c>
      <c r="E18" s="76" t="s">
        <v>103</v>
      </c>
      <c r="F18" s="13" t="s">
        <v>108</v>
      </c>
      <c r="G18" s="76" t="s">
        <v>104</v>
      </c>
      <c r="H18" s="76" t="s">
        <v>20</v>
      </c>
      <c r="I18" s="76">
        <v>6</v>
      </c>
      <c r="J18" s="76" t="s">
        <v>125</v>
      </c>
      <c r="K18" s="8" t="s">
        <v>17</v>
      </c>
      <c r="L18" s="12" t="s">
        <v>28</v>
      </c>
      <c r="M18" s="76" t="s">
        <v>150</v>
      </c>
      <c r="N18" s="76"/>
      <c r="O18" s="76" t="s">
        <v>151</v>
      </c>
    </row>
    <row r="19" spans="2:15" ht="87.75" customHeight="1" x14ac:dyDescent="0.2">
      <c r="B19" s="7" t="s">
        <v>48</v>
      </c>
      <c r="C19" s="76" t="s">
        <v>105</v>
      </c>
      <c r="D19" s="76" t="s">
        <v>106</v>
      </c>
      <c r="E19" s="76" t="s">
        <v>107</v>
      </c>
      <c r="F19" s="13" t="s">
        <v>108</v>
      </c>
      <c r="G19" s="76" t="s">
        <v>109</v>
      </c>
      <c r="H19" s="76" t="s">
        <v>23</v>
      </c>
      <c r="I19" s="76">
        <v>7</v>
      </c>
      <c r="J19" s="76" t="s">
        <v>125</v>
      </c>
      <c r="K19" s="11" t="s">
        <v>17</v>
      </c>
      <c r="L19" s="12" t="s">
        <v>28</v>
      </c>
      <c r="M19" s="76" t="s">
        <v>152</v>
      </c>
      <c r="N19" s="76"/>
      <c r="O19" s="76" t="s">
        <v>153</v>
      </c>
    </row>
    <row r="20" spans="2:15" ht="60.75" customHeight="1" x14ac:dyDescent="0.2">
      <c r="B20" s="7" t="s">
        <v>49</v>
      </c>
      <c r="C20" s="76" t="s">
        <v>110</v>
      </c>
      <c r="D20" s="76" t="s">
        <v>111</v>
      </c>
      <c r="E20" s="76" t="s">
        <v>112</v>
      </c>
      <c r="F20" s="76" t="s">
        <v>59</v>
      </c>
      <c r="G20" s="76" t="s">
        <v>113</v>
      </c>
      <c r="H20" s="76" t="s">
        <v>119</v>
      </c>
      <c r="I20" s="76">
        <v>5</v>
      </c>
      <c r="J20" s="76" t="s">
        <v>125</v>
      </c>
      <c r="K20" s="8" t="s">
        <v>17</v>
      </c>
      <c r="L20" s="12" t="s">
        <v>28</v>
      </c>
      <c r="M20" s="76" t="s">
        <v>154</v>
      </c>
      <c r="N20" s="76"/>
      <c r="O20" s="76" t="s">
        <v>155</v>
      </c>
    </row>
    <row r="21" spans="2:15" ht="93" customHeight="1" x14ac:dyDescent="0.2">
      <c r="B21" s="80" t="s">
        <v>50</v>
      </c>
      <c r="C21" s="76" t="s">
        <v>114</v>
      </c>
      <c r="D21" s="76" t="s">
        <v>115</v>
      </c>
      <c r="E21" s="76" t="s">
        <v>116</v>
      </c>
      <c r="F21" s="76" t="s">
        <v>59</v>
      </c>
      <c r="G21" s="76" t="s">
        <v>117</v>
      </c>
      <c r="H21" s="76" t="s">
        <v>120</v>
      </c>
      <c r="I21" s="76">
        <v>3</v>
      </c>
      <c r="J21" s="76" t="s">
        <v>125</v>
      </c>
      <c r="K21" s="11" t="s">
        <v>17</v>
      </c>
      <c r="L21" s="12" t="s">
        <v>28</v>
      </c>
      <c r="M21" s="76" t="s">
        <v>156</v>
      </c>
      <c r="N21" s="76"/>
      <c r="O21" s="76" t="s">
        <v>157</v>
      </c>
    </row>
    <row r="22" spans="2:15" ht="83.25" customHeight="1" x14ac:dyDescent="0.2">
      <c r="B22" s="18"/>
    </row>
    <row r="23" spans="2:15" ht="19.5" customHeight="1" x14ac:dyDescent="0.2">
      <c r="I23" s="1"/>
      <c r="J23" s="1"/>
      <c r="K23" s="19"/>
      <c r="L23" s="3"/>
    </row>
    <row r="24" spans="2:15" ht="19.5" customHeight="1" x14ac:dyDescent="0.2">
      <c r="I24" s="1"/>
      <c r="J24" s="1"/>
      <c r="K24" s="19"/>
      <c r="L24" s="3"/>
    </row>
    <row r="25" spans="2:15" ht="19.5" customHeight="1" x14ac:dyDescent="0.25">
      <c r="I25" s="1"/>
      <c r="J25" s="1"/>
      <c r="K25" s="2"/>
      <c r="L25" s="3"/>
    </row>
    <row r="26" spans="2:15" ht="19.5" customHeight="1" x14ac:dyDescent="0.25">
      <c r="I26" s="1"/>
      <c r="J26" s="1"/>
      <c r="K26" s="2"/>
      <c r="L26" s="3"/>
    </row>
    <row r="27" spans="2:15" ht="19.5" customHeight="1" x14ac:dyDescent="0.25">
      <c r="I27" s="1"/>
      <c r="J27" s="1"/>
      <c r="K27" s="2"/>
      <c r="L27" s="3"/>
    </row>
    <row r="28" spans="2:15" ht="19.5" customHeight="1" x14ac:dyDescent="0.25">
      <c r="I28" s="1"/>
      <c r="J28" s="1"/>
      <c r="K28" s="20" t="s">
        <v>17</v>
      </c>
      <c r="L28" s="21" t="s">
        <v>21</v>
      </c>
      <c r="M28" s="4"/>
    </row>
    <row r="29" spans="2:15" ht="19.5" customHeight="1" x14ac:dyDescent="0.25">
      <c r="I29" s="1"/>
      <c r="J29" s="1"/>
      <c r="K29" s="20" t="s">
        <v>24</v>
      </c>
      <c r="L29" s="21" t="s">
        <v>18</v>
      </c>
      <c r="M29" s="4"/>
    </row>
    <row r="30" spans="2:15" ht="19.5" customHeight="1" x14ac:dyDescent="0.25">
      <c r="I30" s="1"/>
      <c r="J30" s="1"/>
      <c r="K30" s="20" t="s">
        <v>27</v>
      </c>
      <c r="L30" s="21" t="s">
        <v>28</v>
      </c>
      <c r="M30" s="4"/>
    </row>
    <row r="31" spans="2:15" ht="15.75" customHeight="1" x14ac:dyDescent="0.25">
      <c r="I31" s="1"/>
      <c r="J31" s="1"/>
      <c r="K31" s="20"/>
      <c r="L31" s="21" t="s">
        <v>29</v>
      </c>
      <c r="M31" s="4"/>
    </row>
    <row r="32" spans="2:15" ht="15.7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"/>
    <row r="234" spans="9:12" ht="15.75" customHeight="1" x14ac:dyDescent="0.2"/>
    <row r="235" spans="9:12" ht="15.75" customHeight="1" x14ac:dyDescent="0.2"/>
    <row r="236" spans="9:12" ht="15.75" customHeight="1" x14ac:dyDescent="0.2"/>
    <row r="237" spans="9:12" ht="15.75" customHeight="1" x14ac:dyDescent="0.2"/>
    <row r="238" spans="9:12" ht="15.75" customHeight="1" x14ac:dyDescent="0.2"/>
    <row r="239" spans="9:12" ht="15.75" customHeight="1" x14ac:dyDescent="0.2"/>
    <row r="240" spans="9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O3"/>
  </mergeCells>
  <phoneticPr fontId="15" type="noConversion"/>
  <dataValidations count="2">
    <dataValidation type="list" allowBlank="1" showErrorMessage="1" sqref="L6:L21" xr:uid="{00000000-0002-0000-0000-000000000000}">
      <formula1>$L$28:$L$31</formula1>
    </dataValidation>
    <dataValidation type="list" allowBlank="1" showErrorMessage="1" sqref="K6:K21" xr:uid="{00000000-0002-0000-0000-000001000000}">
      <formula1>$K$28:$K$30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workbookViewId="0"/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2"/>
      <c r="D4" s="22"/>
      <c r="E4" s="22"/>
      <c r="F4" s="4"/>
    </row>
    <row r="5" spans="2:16" hidden="1" x14ac:dyDescent="0.25">
      <c r="C5" s="22"/>
      <c r="D5" s="22"/>
      <c r="E5" s="22"/>
      <c r="F5" s="4"/>
    </row>
    <row r="6" spans="2:16" ht="39.75" customHeight="1" x14ac:dyDescent="0.2">
      <c r="B6" s="67" t="s">
        <v>30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54"/>
    </row>
    <row r="7" spans="2:16" ht="9.75" customHeight="1" x14ac:dyDescent="0.2"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2:16" ht="9.75" customHeight="1" x14ac:dyDescent="0.25">
      <c r="B8" s="24"/>
      <c r="C8" s="25"/>
      <c r="D8" s="25"/>
      <c r="E8" s="25"/>
      <c r="F8" s="26"/>
      <c r="G8" s="27"/>
      <c r="H8" s="27"/>
      <c r="I8" s="27"/>
      <c r="J8" s="27"/>
      <c r="K8" s="27"/>
      <c r="L8" s="27"/>
      <c r="M8" s="27"/>
      <c r="N8" s="27"/>
      <c r="O8" s="27"/>
      <c r="P8" s="28"/>
    </row>
    <row r="9" spans="2:16" ht="30" customHeight="1" x14ac:dyDescent="0.2">
      <c r="B9" s="29"/>
      <c r="C9" s="30" t="s">
        <v>1</v>
      </c>
      <c r="D9" s="31"/>
      <c r="E9" s="53" t="s">
        <v>31</v>
      </c>
      <c r="F9" s="54"/>
      <c r="G9" s="31"/>
      <c r="H9" s="53" t="s">
        <v>11</v>
      </c>
      <c r="I9" s="54"/>
      <c r="J9" s="32"/>
      <c r="K9" s="32"/>
      <c r="L9" s="32"/>
      <c r="M9" s="32"/>
      <c r="N9" s="32"/>
      <c r="O9" s="32"/>
      <c r="P9" s="33"/>
    </row>
    <row r="10" spans="2:16" ht="30" customHeight="1" x14ac:dyDescent="0.2">
      <c r="B10" s="29"/>
      <c r="C10" s="34" t="s">
        <v>22</v>
      </c>
      <c r="D10" s="35"/>
      <c r="E10" s="55" t="str">
        <f>VLOOKUP(C10,'Formato descripción HU'!B6:O24,5,0)</f>
        <v>Admin / Vendedor</v>
      </c>
      <c r="F10" s="54"/>
      <c r="G10" s="36"/>
      <c r="H10" s="55" t="str">
        <f>VLOOKUP(C10,'Formato descripción HU'!B6:O24,11,0)</f>
        <v>Terminado</v>
      </c>
      <c r="I10" s="54"/>
      <c r="J10" s="36"/>
      <c r="K10" s="32"/>
      <c r="L10" s="32"/>
      <c r="M10" s="32"/>
      <c r="N10" s="32"/>
      <c r="O10" s="32"/>
      <c r="P10" s="33"/>
    </row>
    <row r="11" spans="2:16" ht="9.75" customHeight="1" x14ac:dyDescent="0.2">
      <c r="B11" s="29"/>
      <c r="C11" s="37"/>
      <c r="D11" s="35"/>
      <c r="E11" s="38"/>
      <c r="F11" s="38"/>
      <c r="G11" s="36"/>
      <c r="H11" s="38"/>
      <c r="I11" s="38"/>
      <c r="J11" s="36"/>
      <c r="K11" s="38"/>
      <c r="L11" s="38"/>
      <c r="M11" s="32"/>
      <c r="N11" s="38"/>
      <c r="O11" s="38"/>
      <c r="P11" s="33"/>
    </row>
    <row r="12" spans="2:16" ht="30" customHeight="1" x14ac:dyDescent="0.2">
      <c r="B12" s="29"/>
      <c r="C12" s="30" t="s">
        <v>32</v>
      </c>
      <c r="D12" s="35"/>
      <c r="E12" s="53" t="s">
        <v>10</v>
      </c>
      <c r="F12" s="54"/>
      <c r="G12" s="36"/>
      <c r="H12" s="53" t="s">
        <v>33</v>
      </c>
      <c r="I12" s="54"/>
      <c r="J12" s="36"/>
      <c r="K12" s="38"/>
      <c r="L12" s="38"/>
      <c r="M12" s="32"/>
      <c r="N12" s="38"/>
      <c r="O12" s="38"/>
      <c r="P12" s="33"/>
    </row>
    <row r="13" spans="2:16" ht="30" customHeight="1" x14ac:dyDescent="0.2">
      <c r="B13" s="29"/>
      <c r="C13" s="34">
        <f>VLOOKUP('Historia de Usuario'!C10,'Formato descripción HU'!B6:O24,8,0)</f>
        <v>6</v>
      </c>
      <c r="D13" s="35"/>
      <c r="E13" s="55" t="str">
        <f>VLOOKUP(C10,'Formato descripción HU'!B6:O24,10,0)</f>
        <v>Alta</v>
      </c>
      <c r="F13" s="54"/>
      <c r="G13" s="36"/>
      <c r="H13" s="55" t="str">
        <f>VLOOKUP(C10,'Formato descripción HU'!B6:O24,7,0)</f>
        <v>Leopoldo Bolaños</v>
      </c>
      <c r="I13" s="54"/>
      <c r="J13" s="36"/>
      <c r="K13" s="38"/>
      <c r="L13" s="38"/>
      <c r="M13" s="32"/>
      <c r="N13" s="38"/>
      <c r="O13" s="38"/>
      <c r="P13" s="33"/>
    </row>
    <row r="14" spans="2:16" ht="9.75" customHeight="1" x14ac:dyDescent="0.2">
      <c r="B14" s="29"/>
      <c r="C14" s="32"/>
      <c r="D14" s="35"/>
      <c r="E14" s="32"/>
      <c r="F14" s="32"/>
      <c r="G14" s="36"/>
      <c r="H14" s="36"/>
      <c r="I14" s="32"/>
      <c r="J14" s="32"/>
      <c r="K14" s="32"/>
      <c r="L14" s="32"/>
      <c r="M14" s="32"/>
      <c r="N14" s="32"/>
      <c r="O14" s="32"/>
      <c r="P14" s="33"/>
    </row>
    <row r="15" spans="2:16" ht="19.5" customHeight="1" x14ac:dyDescent="0.2">
      <c r="B15" s="29"/>
      <c r="C15" s="57" t="s">
        <v>34</v>
      </c>
      <c r="D15" s="56" t="str">
        <f>VLOOKUP(C10,'Formato descripción HU'!B6:O24,3,0)</f>
        <v>El sistema deberá listar productos y permitir buscarlos/activar/desactivar.</v>
      </c>
      <c r="E15" s="45"/>
      <c r="F15" s="32"/>
      <c r="G15" s="57" t="s">
        <v>35</v>
      </c>
      <c r="H15" s="56" t="str">
        <f>VLOOKUP(C10,'Formato descripción HU'!B6:O24,4,0)</f>
        <v>Gestionar disponibilidad y consulta del inventario.</v>
      </c>
      <c r="I15" s="51"/>
      <c r="J15" s="45"/>
      <c r="K15" s="32"/>
      <c r="L15" s="57" t="s">
        <v>36</v>
      </c>
      <c r="M15" s="50" t="str">
        <f>VLOOKUP(C10,'Formato descripción HU'!B6:O24,6,0)</f>
        <v>Crear tabla de productos, buscador por SKU/Nombre, opción de desactivar  y reactivar.</v>
      </c>
      <c r="N15" s="51"/>
      <c r="O15" s="45"/>
      <c r="P15" s="33"/>
    </row>
    <row r="16" spans="2:16" ht="19.5" customHeight="1" x14ac:dyDescent="0.2">
      <c r="B16" s="29"/>
      <c r="C16" s="58"/>
      <c r="D16" s="46"/>
      <c r="E16" s="47"/>
      <c r="F16" s="32"/>
      <c r="G16" s="58"/>
      <c r="H16" s="46"/>
      <c r="I16" s="43"/>
      <c r="J16" s="47"/>
      <c r="K16" s="32"/>
      <c r="L16" s="58"/>
      <c r="M16" s="46"/>
      <c r="N16" s="43"/>
      <c r="O16" s="47"/>
      <c r="P16" s="33"/>
    </row>
    <row r="17" spans="2:16" ht="19.5" customHeight="1" x14ac:dyDescent="0.2">
      <c r="B17" s="29"/>
      <c r="C17" s="59"/>
      <c r="D17" s="48"/>
      <c r="E17" s="49"/>
      <c r="F17" s="32"/>
      <c r="G17" s="59"/>
      <c r="H17" s="48"/>
      <c r="I17" s="52"/>
      <c r="J17" s="49"/>
      <c r="K17" s="32"/>
      <c r="L17" s="59"/>
      <c r="M17" s="48"/>
      <c r="N17" s="52"/>
      <c r="O17" s="49"/>
      <c r="P17" s="33"/>
    </row>
    <row r="18" spans="2:16" ht="9.75" customHeight="1" x14ac:dyDescent="0.2">
      <c r="B18" s="29"/>
      <c r="C18" s="32"/>
      <c r="D18" s="32"/>
      <c r="E18" s="32"/>
      <c r="F18" s="32"/>
      <c r="G18" s="36"/>
      <c r="H18" s="36"/>
      <c r="I18" s="36"/>
      <c r="J18" s="32"/>
      <c r="K18" s="32"/>
      <c r="L18" s="32"/>
      <c r="M18" s="32"/>
      <c r="N18" s="32"/>
      <c r="O18" s="32"/>
      <c r="P18" s="33"/>
    </row>
    <row r="19" spans="2:16" ht="19.5" customHeight="1" x14ac:dyDescent="0.2">
      <c r="B19" s="29"/>
      <c r="C19" s="66" t="s">
        <v>37</v>
      </c>
      <c r="D19" s="45"/>
      <c r="E19" s="60" t="str">
        <f>VLOOKUP(C10,'Formato descripción HU'!B6:O24,14,0)</f>
        <v>Catálogo y Estados</v>
      </c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33"/>
    </row>
    <row r="20" spans="2:16" ht="19.5" customHeight="1" x14ac:dyDescent="0.2">
      <c r="B20" s="29"/>
      <c r="C20" s="48"/>
      <c r="D20" s="49"/>
      <c r="E20" s="63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33"/>
    </row>
    <row r="21" spans="2:16" ht="9.75" customHeight="1" x14ac:dyDescent="0.2">
      <c r="B21" s="29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</row>
    <row r="22" spans="2:16" ht="19.5" customHeight="1" x14ac:dyDescent="0.2">
      <c r="B22" s="29"/>
      <c r="C22" s="44" t="s">
        <v>38</v>
      </c>
      <c r="D22" s="45"/>
      <c r="E22" s="50" t="str">
        <f>VLOOKUP(C10,'Formato descripción HU'!B6:O24,12,0)</f>
        <v>Búsqueda funciona; estado cambia correctamente sin eliminar el registro.</v>
      </c>
      <c r="F22" s="51"/>
      <c r="G22" s="51"/>
      <c r="H22" s="45"/>
      <c r="I22" s="32"/>
      <c r="J22" s="44" t="s">
        <v>13</v>
      </c>
      <c r="K22" s="45"/>
      <c r="L22" s="50">
        <f>VLOOKUP(C10,'Formato descripción HU'!B6:O24,13,0)</f>
        <v>0</v>
      </c>
      <c r="M22" s="51"/>
      <c r="N22" s="51"/>
      <c r="O22" s="45"/>
      <c r="P22" s="33"/>
    </row>
    <row r="23" spans="2:16" ht="19.5" customHeight="1" x14ac:dyDescent="0.2">
      <c r="B23" s="29"/>
      <c r="C23" s="46"/>
      <c r="D23" s="47"/>
      <c r="E23" s="46"/>
      <c r="F23" s="43"/>
      <c r="G23" s="43"/>
      <c r="H23" s="47"/>
      <c r="I23" s="32"/>
      <c r="J23" s="46"/>
      <c r="K23" s="47"/>
      <c r="L23" s="46"/>
      <c r="M23" s="43"/>
      <c r="N23" s="43"/>
      <c r="O23" s="47"/>
      <c r="P23" s="33"/>
    </row>
    <row r="24" spans="2:16" ht="19.5" customHeight="1" x14ac:dyDescent="0.2">
      <c r="B24" s="29"/>
      <c r="C24" s="48"/>
      <c r="D24" s="49"/>
      <c r="E24" s="48"/>
      <c r="F24" s="52"/>
      <c r="G24" s="52"/>
      <c r="H24" s="49"/>
      <c r="I24" s="32"/>
      <c r="J24" s="48"/>
      <c r="K24" s="49"/>
      <c r="L24" s="48"/>
      <c r="M24" s="52"/>
      <c r="N24" s="52"/>
      <c r="O24" s="49"/>
      <c r="P24" s="33"/>
    </row>
    <row r="25" spans="2:16" ht="9.75" customHeight="1" x14ac:dyDescent="0.2"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1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BRYAN ALEXANDER CEVALLOS ORTEGA</cp:lastModifiedBy>
  <dcterms:created xsi:type="dcterms:W3CDTF">2025-11-10T17:33:49Z</dcterms:created>
  <dcterms:modified xsi:type="dcterms:W3CDTF">2026-01-30T08:27:54Z</dcterms:modified>
</cp:coreProperties>
</file>