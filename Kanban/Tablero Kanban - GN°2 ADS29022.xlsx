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A884A595-59CD-43F4-A2C3-CC36A4679FDD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D55" i="5" s="1" a="1"/>
  <c r="D55" i="5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7" i="5" a="1"/>
  <c r="D57" i="5" s="1"/>
  <c r="D59" i="5" a="1"/>
  <c r="D59" i="5" s="1"/>
  <c r="D45" i="5" a="1"/>
  <c r="D4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4" i="5"/>
  <c r="G78" i="5"/>
  <c r="G56" i="5"/>
  <c r="G9" i="5"/>
  <c r="G25" i="5"/>
  <c r="G95" i="5"/>
  <c r="G13" i="5"/>
  <c r="G75" i="5"/>
  <c r="G47" i="5"/>
  <c r="G23" i="5"/>
  <c r="G40" i="5"/>
  <c r="G98" i="5"/>
  <c r="G90" i="5"/>
  <c r="G55" i="5"/>
  <c r="G36" i="5"/>
  <c r="G42" i="5"/>
  <c r="G18" i="5"/>
  <c r="G22" i="5"/>
  <c r="G72" i="5"/>
  <c r="G65" i="5"/>
  <c r="G82" i="5"/>
  <c r="G99" i="5"/>
  <c r="G43" i="5"/>
  <c r="G27" i="5"/>
  <c r="G79" i="5"/>
  <c r="G19" i="5"/>
  <c r="G60" i="5"/>
  <c r="G63" i="5"/>
  <c r="G69" i="5"/>
  <c r="G52" i="5"/>
  <c r="G101" i="5"/>
  <c r="G10" i="5"/>
  <c r="G80" i="5"/>
  <c r="G15" i="5"/>
  <c r="G50" i="5"/>
  <c r="G76" i="5"/>
  <c r="G92" i="5"/>
  <c r="G16" i="5"/>
  <c r="G62" i="5"/>
  <c r="G94" i="5"/>
  <c r="G8" i="5"/>
  <c r="G29" i="5"/>
  <c r="G37" i="5"/>
  <c r="G77" i="5"/>
  <c r="G64" i="5"/>
  <c r="G67" i="5"/>
  <c r="G97" i="5"/>
  <c r="G45" i="5"/>
  <c r="G53" i="5"/>
  <c r="G34" i="5"/>
  <c r="G61" i="5"/>
  <c r="G17" i="5"/>
  <c r="G74" i="5"/>
  <c r="G14" i="5"/>
  <c r="G39" i="5"/>
  <c r="G38" i="5"/>
  <c r="G81" i="5"/>
  <c r="G35" i="5"/>
  <c r="G33" i="5"/>
  <c r="G57" i="5"/>
  <c r="G3" i="5"/>
  <c r="G6" i="5"/>
  <c r="G96" i="5"/>
  <c r="G28" i="5"/>
  <c r="G93" i="5"/>
  <c r="G11" i="5"/>
  <c r="G41" i="5"/>
  <c r="G5" i="5"/>
  <c r="G70" i="5"/>
  <c r="G20" i="5"/>
  <c r="G49" i="5"/>
  <c r="G31" i="5"/>
  <c r="G91" i="5"/>
  <c r="G44" i="5"/>
  <c r="G100" i="5"/>
  <c r="G85" i="5"/>
  <c r="G7" i="5"/>
  <c r="G12" i="5"/>
  <c r="G58" i="5"/>
  <c r="G21" i="5"/>
  <c r="G59" i="5"/>
  <c r="G51" i="5"/>
  <c r="G88" i="5"/>
  <c r="G89" i="5"/>
  <c r="G46" i="5"/>
  <c r="G48" i="5"/>
  <c r="G24" i="5"/>
  <c r="G26" i="5"/>
  <c r="G32" i="5"/>
  <c r="G87" i="5"/>
  <c r="G84" i="5"/>
  <c r="G66" i="5"/>
  <c r="G2" i="5"/>
  <c r="G86" i="5"/>
  <c r="G73" i="5"/>
  <c r="G83" i="5"/>
  <c r="G71" i="5"/>
  <c r="G30" i="5"/>
  <c r="G4" i="5"/>
  <c r="G6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23" i="5"/>
  <c r="N74" i="5"/>
  <c r="E35" i="5"/>
  <c r="M83" i="5"/>
  <c r="N47" i="5"/>
  <c r="N22" i="5"/>
  <c r="M101" i="5"/>
  <c r="M6" i="5"/>
  <c r="N93" i="5"/>
  <c r="E23" i="5"/>
  <c r="E39" i="5"/>
  <c r="E6" i="5"/>
  <c r="E74" i="5"/>
  <c r="E54" i="5"/>
  <c r="N17" i="5"/>
  <c r="E100" i="5"/>
  <c r="N11" i="5"/>
  <c r="M68" i="5"/>
  <c r="E41" i="5"/>
  <c r="E89" i="5"/>
  <c r="M57" i="5"/>
  <c r="E63" i="5"/>
  <c r="N66" i="5"/>
  <c r="M11" i="5"/>
  <c r="M37" i="5"/>
  <c r="N97" i="5"/>
  <c r="M58" i="5"/>
  <c r="N35" i="5"/>
  <c r="N15" i="5"/>
  <c r="E78" i="5"/>
  <c r="M8" i="5"/>
  <c r="M96" i="5"/>
  <c r="M5" i="5"/>
  <c r="N69" i="5"/>
  <c r="E27" i="5"/>
  <c r="E5" i="5"/>
  <c r="E43" i="5"/>
  <c r="N8" i="5"/>
  <c r="N91" i="5"/>
  <c r="M38" i="5"/>
  <c r="M53" i="5"/>
  <c r="E57" i="5"/>
  <c r="M34" i="5"/>
  <c r="N10" i="5"/>
  <c r="N31" i="5"/>
  <c r="N49" i="5"/>
  <c r="E30" i="5"/>
  <c r="M94" i="5"/>
  <c r="M48" i="5"/>
  <c r="N27" i="5"/>
  <c r="M27" i="5"/>
  <c r="E38" i="5"/>
  <c r="N77" i="5"/>
  <c r="E42" i="5"/>
  <c r="E17" i="5"/>
  <c r="M98" i="5"/>
  <c r="N34" i="5"/>
  <c r="E79" i="5"/>
  <c r="E11" i="5"/>
  <c r="N89" i="5"/>
  <c r="M32" i="5"/>
  <c r="N57" i="5"/>
  <c r="M28" i="5"/>
  <c r="N6" i="5"/>
  <c r="E28" i="5"/>
  <c r="M29" i="5"/>
  <c r="M25" i="5"/>
  <c r="E99" i="5"/>
  <c r="M26" i="5"/>
  <c r="E22" i="5"/>
  <c r="E76" i="5"/>
  <c r="E67" i="5"/>
  <c r="M89" i="5"/>
  <c r="N62" i="5"/>
  <c r="E94" i="5"/>
  <c r="M13" i="5"/>
  <c r="N63" i="5"/>
  <c r="E40" i="5"/>
  <c r="M36" i="5"/>
  <c r="E72" i="5"/>
  <c r="M76" i="5"/>
  <c r="M86" i="5"/>
  <c r="M4" i="5"/>
  <c r="E82" i="5"/>
  <c r="M69" i="5"/>
  <c r="M92" i="5"/>
  <c r="M74" i="5"/>
  <c r="M97" i="5"/>
  <c r="M50" i="5"/>
  <c r="E52" i="5"/>
  <c r="N43" i="5"/>
  <c r="N33" i="5"/>
  <c r="N59" i="5"/>
  <c r="E50" i="5"/>
  <c r="E71" i="5"/>
  <c r="N13" i="5"/>
  <c r="N52" i="5"/>
  <c r="N28" i="5"/>
  <c r="E87" i="5"/>
  <c r="N19" i="5"/>
  <c r="E19" i="5"/>
  <c r="M41" i="5"/>
  <c r="E96" i="5"/>
  <c r="M17" i="5"/>
  <c r="M84" i="5"/>
  <c r="M19" i="5"/>
  <c r="N48" i="5"/>
  <c r="M65" i="5"/>
  <c r="N3" i="5"/>
  <c r="N18" i="5"/>
  <c r="E68" i="5"/>
  <c r="E10" i="5"/>
  <c r="N41" i="5"/>
  <c r="N9" i="5"/>
  <c r="N100" i="5"/>
  <c r="N45" i="5"/>
  <c r="N4" i="5"/>
  <c r="N95" i="5"/>
  <c r="M18" i="5"/>
  <c r="E32" i="5"/>
  <c r="M59" i="5"/>
  <c r="E66" i="5"/>
  <c r="N2" i="5"/>
  <c r="E49" i="5"/>
  <c r="E75" i="5"/>
  <c r="M80" i="5"/>
  <c r="M71" i="5"/>
  <c r="E26" i="5"/>
  <c r="E98" i="5"/>
  <c r="N76" i="5"/>
  <c r="N88" i="5"/>
  <c r="N55" i="5"/>
  <c r="M67" i="5"/>
  <c r="N42" i="5"/>
  <c r="N32" i="5"/>
  <c r="N96" i="5"/>
  <c r="E86" i="5"/>
  <c r="M43" i="5"/>
  <c r="M21" i="5"/>
  <c r="M61" i="5"/>
  <c r="M35" i="5"/>
  <c r="N58" i="5"/>
  <c r="N99" i="5"/>
  <c r="N73" i="5"/>
  <c r="N86" i="5"/>
  <c r="N21" i="5"/>
  <c r="N50" i="5"/>
  <c r="M82" i="5"/>
  <c r="M81" i="5"/>
  <c r="M93" i="5"/>
  <c r="N51" i="5"/>
  <c r="E9" i="5"/>
  <c r="N29" i="5"/>
  <c r="N87" i="5"/>
  <c r="N25" i="5"/>
  <c r="N20" i="5"/>
  <c r="E95" i="5"/>
  <c r="N12" i="5"/>
  <c r="E77" i="5"/>
  <c r="N44" i="5"/>
  <c r="M33" i="5"/>
  <c r="N70" i="5"/>
  <c r="E8" i="5"/>
  <c r="E58" i="5"/>
  <c r="N67" i="5"/>
  <c r="M72" i="5"/>
  <c r="M85" i="5"/>
  <c r="E18" i="5"/>
  <c r="E36" i="5"/>
  <c r="E25" i="5"/>
  <c r="M2" i="5"/>
  <c r="M30" i="5"/>
  <c r="E16" i="5"/>
  <c r="N46" i="5"/>
  <c r="E15" i="5"/>
  <c r="M99" i="5"/>
  <c r="E92" i="5"/>
  <c r="N98" i="5"/>
  <c r="N30" i="5"/>
  <c r="N60" i="5"/>
  <c r="N54" i="5"/>
  <c r="M15" i="5"/>
  <c r="E31" i="5"/>
  <c r="N72" i="5"/>
  <c r="N26" i="5"/>
  <c r="M91" i="5"/>
  <c r="M40" i="5"/>
  <c r="E12" i="5"/>
  <c r="E37" i="5"/>
  <c r="E4" i="5"/>
  <c r="E33" i="5"/>
  <c r="E24" i="5"/>
  <c r="N71" i="5"/>
  <c r="M56" i="5"/>
  <c r="M47" i="5"/>
  <c r="M51" i="5"/>
  <c r="E56" i="5"/>
  <c r="E29" i="5"/>
  <c r="E62" i="5"/>
  <c r="E45" i="5"/>
  <c r="E59" i="5"/>
  <c r="E80" i="5"/>
  <c r="M90" i="5"/>
  <c r="M9" i="5"/>
  <c r="M88" i="5"/>
  <c r="N61" i="5"/>
  <c r="N5" i="5"/>
  <c r="M54" i="5"/>
  <c r="M73" i="5"/>
  <c r="E13" i="5"/>
  <c r="E101" i="5"/>
  <c r="M20" i="5"/>
  <c r="E88" i="5"/>
  <c r="N68" i="5"/>
  <c r="M22" i="5"/>
  <c r="N14" i="5"/>
  <c r="M64" i="5"/>
  <c r="N53" i="5"/>
  <c r="M16" i="5"/>
  <c r="M79" i="5"/>
  <c r="N79" i="5"/>
  <c r="M14" i="5"/>
  <c r="N90" i="5"/>
  <c r="N82" i="5"/>
  <c r="M24" i="5"/>
  <c r="M42" i="5"/>
  <c r="E69" i="5"/>
  <c r="M49" i="5"/>
  <c r="M7" i="5"/>
  <c r="N38" i="5"/>
  <c r="N101" i="5"/>
  <c r="E81" i="5"/>
  <c r="N23" i="5"/>
  <c r="E61" i="5"/>
  <c r="N92" i="5"/>
  <c r="E85" i="5"/>
  <c r="E64" i="5"/>
  <c r="E84" i="5"/>
  <c r="M45" i="5"/>
  <c r="E53" i="5"/>
  <c r="N7" i="5"/>
  <c r="E55" i="5"/>
  <c r="E73" i="5"/>
  <c r="M70" i="5"/>
  <c r="N16" i="5"/>
  <c r="N37" i="5"/>
  <c r="M60" i="5"/>
  <c r="M62" i="5"/>
  <c r="M77" i="5"/>
  <c r="N36" i="5"/>
  <c r="M100" i="5"/>
  <c r="E21" i="5"/>
  <c r="E47" i="5"/>
  <c r="N81" i="5"/>
  <c r="M52" i="5"/>
  <c r="E3" i="5"/>
  <c r="E83" i="5"/>
  <c r="M55" i="5"/>
  <c r="E51" i="5"/>
  <c r="N64" i="5"/>
  <c r="E20" i="5"/>
  <c r="E93" i="5"/>
  <c r="E46" i="5"/>
  <c r="M39" i="5"/>
  <c r="E44" i="5"/>
  <c r="M3" i="5"/>
  <c r="E14" i="5"/>
  <c r="N39" i="5"/>
  <c r="E7" i="5"/>
  <c r="M12" i="5"/>
  <c r="N85" i="5"/>
  <c r="M44" i="5"/>
  <c r="M46" i="5"/>
  <c r="M75" i="5"/>
  <c r="N78" i="5"/>
  <c r="N94" i="5"/>
  <c r="E65" i="5"/>
  <c r="N56" i="5"/>
  <c r="N84" i="5"/>
  <c r="E34" i="5"/>
  <c r="N83" i="5"/>
  <c r="E97" i="5"/>
  <c r="M31" i="5"/>
  <c r="M63" i="5"/>
  <c r="M95" i="5"/>
  <c r="E2" i="5"/>
  <c r="N40" i="5"/>
  <c r="E90" i="5"/>
  <c r="E91" i="5"/>
  <c r="N80" i="5"/>
  <c r="E70" i="5"/>
  <c r="N65" i="5"/>
  <c r="N75" i="5"/>
  <c r="M87" i="5"/>
  <c r="N24" i="5"/>
  <c r="M10" i="5"/>
  <c r="M66" i="5"/>
  <c r="E60" i="5"/>
  <c r="M78" i="5"/>
  <c r="E48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59" i="5"/>
  <c r="L57" i="5"/>
  <c r="L72" i="5"/>
  <c r="L21" i="5"/>
  <c r="J93" i="5"/>
  <c r="L99" i="5"/>
  <c r="J34" i="5"/>
  <c r="J87" i="5"/>
  <c r="L43" i="5"/>
  <c r="L40" i="5"/>
  <c r="J11" i="5"/>
  <c r="J25" i="5"/>
  <c r="L65" i="5"/>
  <c r="J68" i="5"/>
  <c r="L82" i="5"/>
  <c r="J69" i="5"/>
  <c r="L89" i="5"/>
  <c r="J10" i="5"/>
  <c r="L68" i="5"/>
  <c r="L45" i="5"/>
  <c r="J62" i="5"/>
  <c r="L78" i="5"/>
  <c r="J48" i="5"/>
  <c r="L49" i="5"/>
  <c r="J57" i="5"/>
  <c r="J100" i="5"/>
  <c r="J74" i="5"/>
  <c r="L91" i="5"/>
  <c r="J58" i="5"/>
  <c r="J20" i="5"/>
  <c r="J13" i="5"/>
  <c r="L42" i="5"/>
  <c r="L51" i="5"/>
  <c r="J99" i="5"/>
  <c r="L50" i="5"/>
  <c r="J41" i="5"/>
  <c r="L25" i="5"/>
  <c r="J38" i="5"/>
  <c r="J40" i="5"/>
  <c r="L3" i="5"/>
  <c r="L54" i="5"/>
  <c r="J50" i="5"/>
  <c r="J24" i="5"/>
  <c r="J29" i="5"/>
  <c r="L17" i="5"/>
  <c r="J82" i="5"/>
  <c r="J36" i="5"/>
  <c r="L11" i="5"/>
  <c r="L5" i="5"/>
  <c r="L20" i="5"/>
  <c r="J49" i="5"/>
  <c r="L93" i="5"/>
  <c r="L84" i="5"/>
  <c r="L83" i="5"/>
  <c r="L76" i="5"/>
  <c r="L56" i="5"/>
  <c r="J2" i="5"/>
  <c r="L38" i="5"/>
  <c r="J86" i="5"/>
  <c r="L101" i="5"/>
  <c r="L98" i="5"/>
  <c r="J70" i="5"/>
  <c r="J95" i="5"/>
  <c r="J77" i="5"/>
  <c r="J35" i="5"/>
  <c r="L55" i="5"/>
  <c r="J33" i="5"/>
  <c r="J78" i="5"/>
  <c r="J92" i="5"/>
  <c r="L9" i="5"/>
  <c r="L64" i="5"/>
  <c r="J67" i="5"/>
  <c r="L14" i="5"/>
  <c r="J55" i="5"/>
  <c r="J54" i="5"/>
  <c r="L81" i="5"/>
  <c r="L96" i="5"/>
  <c r="L44" i="5"/>
  <c r="L41" i="5"/>
  <c r="J16" i="5"/>
  <c r="J51" i="5"/>
  <c r="J18" i="5"/>
  <c r="L74" i="5"/>
  <c r="L12" i="5"/>
  <c r="L86" i="5"/>
  <c r="J31" i="5"/>
  <c r="J7" i="5"/>
  <c r="L60" i="5"/>
  <c r="L37" i="5"/>
  <c r="J32" i="5"/>
  <c r="L2" i="5"/>
  <c r="L69" i="5"/>
  <c r="J98" i="5"/>
  <c r="L30" i="5"/>
  <c r="L61" i="5"/>
  <c r="L31" i="5"/>
  <c r="L95" i="5"/>
  <c r="J90" i="5"/>
  <c r="L100" i="5"/>
  <c r="L33" i="5"/>
  <c r="L58" i="5"/>
  <c r="L8" i="5"/>
  <c r="J23" i="5"/>
  <c r="L34" i="5"/>
  <c r="J64" i="5"/>
  <c r="L27" i="5"/>
  <c r="J6" i="5"/>
  <c r="J83" i="5"/>
  <c r="J8" i="5"/>
  <c r="L73" i="5"/>
  <c r="J21" i="5"/>
  <c r="L79" i="5"/>
  <c r="J63" i="5"/>
  <c r="J3" i="5"/>
  <c r="J45" i="5"/>
  <c r="L48" i="5"/>
  <c r="J79" i="5"/>
  <c r="J71" i="5"/>
  <c r="L94" i="5"/>
  <c r="L62" i="5"/>
  <c r="L15" i="5"/>
  <c r="L88" i="5"/>
  <c r="J101" i="5"/>
  <c r="J94" i="5"/>
  <c r="L18" i="5"/>
  <c r="J42" i="5"/>
  <c r="J75" i="5"/>
  <c r="J52" i="5"/>
  <c r="J47" i="5"/>
  <c r="L39" i="5"/>
  <c r="J61" i="5"/>
  <c r="L26" i="5"/>
  <c r="J85" i="5"/>
  <c r="J96" i="5"/>
  <c r="L10" i="5"/>
  <c r="L36" i="5"/>
  <c r="L7" i="5"/>
  <c r="L46" i="5"/>
  <c r="J73" i="5"/>
  <c r="L47" i="5"/>
  <c r="J72" i="5"/>
  <c r="J76" i="5"/>
  <c r="J9" i="5"/>
  <c r="J19" i="5"/>
  <c r="J43" i="5"/>
  <c r="J37" i="5"/>
  <c r="J46" i="5"/>
  <c r="L52" i="5"/>
  <c r="L80" i="5"/>
  <c r="J60" i="5"/>
  <c r="J4" i="5"/>
  <c r="J80" i="5"/>
  <c r="J65" i="5"/>
  <c r="L28" i="5"/>
  <c r="L70" i="5"/>
  <c r="J53" i="5"/>
  <c r="J5" i="5"/>
  <c r="J56" i="5"/>
  <c r="J88" i="5"/>
  <c r="J39" i="5"/>
  <c r="L66" i="5"/>
  <c r="L75" i="5"/>
  <c r="L85" i="5"/>
  <c r="L4" i="5"/>
  <c r="J27" i="5"/>
  <c r="J89" i="5"/>
  <c r="J66" i="5"/>
  <c r="L13" i="5"/>
  <c r="J22" i="5"/>
  <c r="L35" i="5"/>
  <c r="L16" i="5"/>
  <c r="J28" i="5"/>
  <c r="J30" i="5"/>
  <c r="L19" i="5"/>
  <c r="J14" i="5"/>
  <c r="J81" i="5"/>
  <c r="L97" i="5"/>
  <c r="J97" i="5"/>
  <c r="L77" i="5"/>
  <c r="L90" i="5"/>
  <c r="J17" i="5"/>
  <c r="L92" i="5"/>
  <c r="L32" i="5"/>
  <c r="J12" i="5"/>
  <c r="L87" i="5"/>
  <c r="L53" i="5"/>
  <c r="L59" i="5"/>
  <c r="L71" i="5"/>
  <c r="L29" i="5"/>
  <c r="L23" i="5"/>
  <c r="J26" i="5"/>
  <c r="J44" i="5"/>
  <c r="J84" i="5"/>
  <c r="L6" i="5"/>
  <c r="J91" i="5"/>
  <c r="L63" i="5"/>
  <c r="J15" i="5"/>
  <c r="L22" i="5"/>
  <c r="L67" i="5"/>
  <c r="L2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7" i="5"/>
  <c r="K14" i="5"/>
  <c r="K28" i="5"/>
  <c r="K41" i="5"/>
  <c r="K75" i="5"/>
  <c r="K98" i="5"/>
  <c r="K85" i="5"/>
  <c r="K77" i="5"/>
  <c r="K11" i="5"/>
  <c r="K15" i="5"/>
  <c r="K47" i="5"/>
  <c r="K64" i="5"/>
  <c r="K46" i="5"/>
  <c r="K70" i="5"/>
  <c r="K40" i="5"/>
  <c r="K69" i="5"/>
  <c r="K66" i="5"/>
  <c r="K90" i="5"/>
  <c r="K100" i="5"/>
  <c r="K12" i="5"/>
  <c r="K57" i="5"/>
  <c r="K62" i="5"/>
  <c r="K61" i="5"/>
  <c r="K30" i="5"/>
  <c r="K95" i="5"/>
  <c r="K22" i="5"/>
  <c r="K43" i="5"/>
  <c r="K86" i="5"/>
  <c r="K48" i="5"/>
  <c r="K55" i="5"/>
  <c r="K21" i="5"/>
  <c r="K54" i="5"/>
  <c r="K4" i="5"/>
  <c r="K93" i="5"/>
  <c r="K80" i="5"/>
  <c r="K2" i="5"/>
  <c r="K82" i="5"/>
  <c r="K101" i="5"/>
  <c r="K16" i="5"/>
  <c r="K83" i="5"/>
  <c r="K53" i="5"/>
  <c r="K26" i="5"/>
  <c r="K13" i="5"/>
  <c r="K6" i="5"/>
  <c r="K19" i="5"/>
  <c r="K58" i="5"/>
  <c r="K10" i="5"/>
  <c r="K5" i="5"/>
  <c r="K51" i="5"/>
  <c r="K74" i="5"/>
  <c r="K99" i="5"/>
  <c r="K73" i="5"/>
  <c r="K20" i="5"/>
  <c r="K81" i="5"/>
  <c r="K92" i="5"/>
  <c r="K50" i="5"/>
  <c r="K42" i="5"/>
  <c r="K94" i="5"/>
  <c r="K38" i="5"/>
  <c r="K34" i="5"/>
  <c r="K8" i="5"/>
  <c r="K23" i="5"/>
  <c r="K60" i="5"/>
  <c r="K27" i="5"/>
  <c r="K65" i="5"/>
  <c r="K32" i="5"/>
  <c r="K52" i="5"/>
  <c r="K39" i="5"/>
  <c r="K44" i="5"/>
  <c r="K37" i="5"/>
  <c r="K87" i="5"/>
  <c r="K88" i="5"/>
  <c r="K25" i="5"/>
  <c r="K31" i="5"/>
  <c r="K33" i="5"/>
  <c r="K63" i="5"/>
  <c r="K97" i="5"/>
  <c r="K36" i="5"/>
  <c r="K76" i="5"/>
  <c r="K79" i="5"/>
  <c r="K67" i="5"/>
  <c r="K3" i="5"/>
  <c r="K72" i="5"/>
  <c r="K59" i="5"/>
  <c r="K84" i="5"/>
  <c r="K78" i="5"/>
  <c r="K45" i="5"/>
  <c r="K29" i="5"/>
  <c r="K24" i="5"/>
  <c r="K89" i="5"/>
  <c r="K49" i="5"/>
  <c r="K35" i="5"/>
  <c r="K68" i="5"/>
  <c r="K18" i="5"/>
  <c r="K17" i="5"/>
  <c r="K71" i="5"/>
  <c r="K56" i="5"/>
  <c r="K91" i="5"/>
  <c r="K9" i="5"/>
  <c r="K96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71" i="5"/>
  <c r="I70" i="5"/>
  <c r="I68" i="5"/>
  <c r="I47" i="5"/>
  <c r="I15" i="5"/>
  <c r="I82" i="5"/>
  <c r="I40" i="5"/>
  <c r="I23" i="5"/>
  <c r="I20" i="5"/>
  <c r="I11" i="5"/>
  <c r="I89" i="5"/>
  <c r="I52" i="5"/>
  <c r="I37" i="5"/>
  <c r="I30" i="5"/>
  <c r="I17" i="5"/>
  <c r="I46" i="5"/>
  <c r="I87" i="5"/>
  <c r="I3" i="5"/>
  <c r="I50" i="5"/>
  <c r="I32" i="5"/>
  <c r="I100" i="5"/>
  <c r="I6" i="5"/>
  <c r="I21" i="5"/>
  <c r="I73" i="5"/>
  <c r="I7" i="5"/>
  <c r="I62" i="5"/>
  <c r="I16" i="5"/>
  <c r="I14" i="5"/>
  <c r="I38" i="5"/>
  <c r="I5" i="5"/>
  <c r="I19" i="5"/>
  <c r="I77" i="5"/>
  <c r="I48" i="5"/>
  <c r="I18" i="5"/>
  <c r="I25" i="5"/>
  <c r="I72" i="5"/>
  <c r="I4" i="5"/>
  <c r="I92" i="5"/>
  <c r="I67" i="5"/>
  <c r="I57" i="5"/>
  <c r="I69" i="5"/>
  <c r="I36" i="5"/>
  <c r="I49" i="5"/>
  <c r="I45" i="5"/>
  <c r="I91" i="5"/>
  <c r="I10" i="5"/>
  <c r="I84" i="5"/>
  <c r="I56" i="5"/>
  <c r="I101" i="5"/>
  <c r="I41" i="5"/>
  <c r="I65" i="5"/>
  <c r="I28" i="5"/>
  <c r="I44" i="5"/>
  <c r="I33" i="5"/>
  <c r="I75" i="5"/>
  <c r="I31" i="5"/>
  <c r="I26" i="5"/>
  <c r="I81" i="5"/>
  <c r="I43" i="5"/>
  <c r="I53" i="5"/>
  <c r="I8" i="5"/>
  <c r="I76" i="5"/>
  <c r="I54" i="5"/>
  <c r="I27" i="5"/>
  <c r="I29" i="5"/>
  <c r="I90" i="5"/>
  <c r="I63" i="5"/>
  <c r="I78" i="5"/>
  <c r="I79" i="5"/>
  <c r="I95" i="5"/>
  <c r="I98" i="5"/>
  <c r="I88" i="5"/>
  <c r="I99" i="5"/>
  <c r="I55" i="5"/>
  <c r="I13" i="5"/>
  <c r="I96" i="5"/>
  <c r="I61" i="5"/>
  <c r="I85" i="5"/>
  <c r="I97" i="5"/>
  <c r="I22" i="5"/>
  <c r="I39" i="5"/>
  <c r="I2" i="5"/>
  <c r="I42" i="5"/>
  <c r="I86" i="5"/>
  <c r="I60" i="5"/>
  <c r="I51" i="5"/>
  <c r="I58" i="5"/>
  <c r="I83" i="5"/>
  <c r="I64" i="5"/>
  <c r="I80" i="5"/>
  <c r="I35" i="5"/>
  <c r="I34" i="5"/>
  <c r="I24" i="5"/>
  <c r="I12" i="5"/>
  <c r="I59" i="5"/>
  <c r="I74" i="5"/>
  <c r="I94" i="5"/>
  <c r="I93" i="5"/>
  <c r="I66" i="5"/>
  <c r="I9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77" i="5"/>
  <c r="F27" i="5"/>
  <c r="F44" i="5"/>
  <c r="F70" i="5"/>
  <c r="F64" i="5"/>
  <c r="F79" i="5"/>
  <c r="F19" i="5"/>
  <c r="F57" i="5"/>
  <c r="F51" i="5"/>
  <c r="F2" i="5"/>
  <c r="F89" i="5"/>
  <c r="F99" i="5"/>
  <c r="F74" i="5"/>
  <c r="F35" i="5"/>
  <c r="F53" i="5"/>
  <c r="F76" i="5"/>
  <c r="F85" i="5"/>
  <c r="F18" i="5"/>
  <c r="F13" i="5"/>
  <c r="F100" i="5"/>
  <c r="F69" i="5"/>
  <c r="F78" i="5"/>
  <c r="F31" i="5"/>
  <c r="F41" i="5"/>
  <c r="F67" i="5"/>
  <c r="F49" i="5"/>
  <c r="F34" i="5"/>
  <c r="F80" i="5"/>
  <c r="F38" i="5"/>
  <c r="F17" i="5"/>
  <c r="F14" i="5"/>
  <c r="F20" i="5"/>
  <c r="F24" i="5"/>
  <c r="F42" i="5"/>
  <c r="F87" i="5"/>
  <c r="F22" i="5"/>
  <c r="F61" i="5"/>
  <c r="F65" i="5"/>
  <c r="F8" i="5"/>
  <c r="F23" i="5"/>
  <c r="F9" i="5"/>
  <c r="F12" i="5"/>
  <c r="F73" i="5"/>
  <c r="F48" i="5"/>
  <c r="F56" i="5"/>
  <c r="F5" i="5"/>
  <c r="F98" i="5"/>
  <c r="F55" i="5"/>
  <c r="F6" i="5"/>
  <c r="F45" i="5"/>
  <c r="F92" i="5"/>
  <c r="F93" i="5"/>
  <c r="F72" i="5"/>
  <c r="F16" i="5"/>
  <c r="F96" i="5"/>
  <c r="F47" i="5"/>
  <c r="F3" i="5"/>
  <c r="F10" i="5"/>
  <c r="F82" i="5"/>
  <c r="F52" i="5"/>
  <c r="F21" i="5"/>
  <c r="F39" i="5"/>
  <c r="F25" i="5"/>
  <c r="F43" i="5"/>
  <c r="F58" i="5"/>
  <c r="F36" i="5"/>
  <c r="F26" i="5"/>
  <c r="F62" i="5"/>
  <c r="F90" i="5"/>
  <c r="F101" i="5"/>
  <c r="F40" i="5"/>
  <c r="F33" i="5"/>
  <c r="F71" i="5"/>
  <c r="F66" i="5"/>
  <c r="F11" i="5"/>
  <c r="F32" i="5"/>
  <c r="F54" i="5"/>
  <c r="F28" i="5"/>
  <c r="F37" i="5"/>
  <c r="F68" i="5"/>
  <c r="F95" i="5"/>
  <c r="F30" i="5"/>
  <c r="F59" i="5"/>
  <c r="F46" i="5"/>
  <c r="F63" i="5"/>
  <c r="F4" i="5"/>
  <c r="F94" i="5"/>
  <c r="F88" i="5"/>
  <c r="F60" i="5"/>
  <c r="F50" i="5"/>
  <c r="F84" i="5"/>
  <c r="F83" i="5"/>
  <c r="F86" i="5"/>
  <c r="F91" i="5"/>
  <c r="F97" i="5"/>
  <c r="F75" i="5"/>
  <c r="F81" i="5"/>
  <c r="F29" i="5"/>
  <c r="F15" i="5"/>
  <c r="F7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" i="5"/>
  <c r="H87" i="5"/>
  <c r="H25" i="5"/>
  <c r="H32" i="5"/>
  <c r="H22" i="5"/>
  <c r="H78" i="5"/>
  <c r="H42" i="5"/>
  <c r="H81" i="5"/>
  <c r="H82" i="5"/>
  <c r="H94" i="5"/>
  <c r="H60" i="5"/>
  <c r="H76" i="5"/>
  <c r="H49" i="5"/>
  <c r="H77" i="5"/>
  <c r="H12" i="5"/>
  <c r="H74" i="5"/>
  <c r="H64" i="5"/>
  <c r="H43" i="5"/>
  <c r="H6" i="5"/>
  <c r="H100" i="5"/>
  <c r="H55" i="5"/>
  <c r="H34" i="5"/>
  <c r="H95" i="5"/>
  <c r="H14" i="5"/>
  <c r="H90" i="5"/>
  <c r="H28" i="5"/>
  <c r="H27" i="5"/>
  <c r="H80" i="5"/>
  <c r="H11" i="5"/>
  <c r="H9" i="5"/>
  <c r="H61" i="5"/>
  <c r="H37" i="5"/>
  <c r="H21" i="5"/>
  <c r="H31" i="5"/>
  <c r="H57" i="5"/>
  <c r="H101" i="5"/>
  <c r="H89" i="5"/>
  <c r="H66" i="5"/>
  <c r="H5" i="5"/>
  <c r="H86" i="5"/>
  <c r="H72" i="5"/>
  <c r="H58" i="5"/>
  <c r="H68" i="5"/>
  <c r="H70" i="5"/>
  <c r="H33" i="5"/>
  <c r="H92" i="5"/>
  <c r="H20" i="5"/>
  <c r="H98" i="5"/>
  <c r="H4" i="5"/>
  <c r="H24" i="5"/>
  <c r="H35" i="5"/>
  <c r="H79" i="5"/>
  <c r="H16" i="5"/>
  <c r="H18" i="5"/>
  <c r="H36" i="5"/>
  <c r="H63" i="5"/>
  <c r="H83" i="5"/>
  <c r="H84" i="5"/>
  <c r="H23" i="5"/>
  <c r="H44" i="5"/>
  <c r="H17" i="5"/>
  <c r="H53" i="5"/>
  <c r="H46" i="5"/>
  <c r="H30" i="5"/>
  <c r="H88" i="5"/>
  <c r="H45" i="5"/>
  <c r="H41" i="5"/>
  <c r="H40" i="5"/>
  <c r="H52" i="5"/>
  <c r="H48" i="5"/>
  <c r="H69" i="5"/>
  <c r="H13" i="5"/>
  <c r="H2" i="5"/>
  <c r="H50" i="5"/>
  <c r="H62" i="5"/>
  <c r="H65" i="5"/>
  <c r="H29" i="5"/>
  <c r="H26" i="5"/>
  <c r="H59" i="5"/>
  <c r="H8" i="5"/>
  <c r="H99" i="5"/>
  <c r="H19" i="5"/>
  <c r="H38" i="5"/>
  <c r="H97" i="5"/>
  <c r="H96" i="5"/>
  <c r="H39" i="5"/>
  <c r="H85" i="5"/>
  <c r="H7" i="5"/>
  <c r="H10" i="5"/>
  <c r="H15" i="5"/>
  <c r="H51" i="5"/>
  <c r="H93" i="5"/>
  <c r="H71" i="5"/>
  <c r="H91" i="5"/>
  <c r="H56" i="5"/>
  <c r="H47" i="5"/>
  <c r="H67" i="5"/>
  <c r="H73" i="5"/>
  <c r="H75" i="5"/>
  <c r="H54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<sst xmlns="http://schemas.openxmlformats.org/spreadsheetml/2006/main" count="468" uniqueCount="282">
  <si>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</si>
  <si>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</si>
  <si>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</si>
  <si>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</si>
  <si>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</si>
  <si>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</si>
  <si>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</si>
  <si>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</si>
  <si>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</si>
  <si>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</si>
  <si>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</si>
  <si>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</si>
  <si>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</si>
  <si>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</si>
  <si>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</si>
  <si>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</si>
  <si>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</si>
  <si>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</si>
  <si>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</si>
  <si>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</si>
  <si>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</si>
  <si>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</si>
  <si>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</si>
  <si>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</si>
  <si>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</si>
  <si>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</si>
  <si>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</si>
  <si>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</si>
  <si>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</si>
  <si>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</si>
  <si>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</si>
  <si>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</si>
  <si>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</si>
  <si>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</si>
  <si>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</si>
  <si>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</si>
  <si>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</si>
  <si>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</si>
  <si>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</si>
  <si>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</si>
  <si>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</si>
  <si>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</si>
  <si>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</si>
  <si>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</si>
  <si>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</si>
  <si>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</si>
  <si>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</si>
  <si>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</si>
  <si>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</si>
  <si>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</si>
  <si>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</si>
  <si>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</si>
  <si>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</si>
  <si>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</si>
  <si>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</si>
  <si>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</si>
  <si>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</si>
  <si>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</si>
  <si>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</si>
  <si>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</si>
  <si>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</si>
  <si>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</si>
  <si>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</si>
  <si>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</si>
  <si>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</si>
  <si>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</si>
  <si>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</si>
  <si>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</si>
  <si>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</si>
  <si>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</si>
  <si>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</si>
  <si>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</si>
  <si>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</si>
  <si>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</si>
  <si>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</si>
  <si>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</si>
  <si>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</si>
  <si>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</si>
  <si>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</si>
  <si>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</si>
  <si>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</si>
  <si>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</si>
  <si>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</si>
  <si>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</si>
  <si>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</si>
  <si>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</si>
  <si>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</si>
  <si>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</si>
  <si>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</si>
  <si>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</si>
  <si>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</si>
  <si>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</si>
  <si>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</si>
  <si>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</si>
  <si>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</si>
  <si>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</si>
  <si>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</si>
  <si>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</si>
  <si>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</si>
  <si>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</si>
  <si>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</si>
  <si>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</si>
  <si>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</si>
  <si>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</si>
  <si>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</si>
  <si>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</si>
  <si>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</si>
  <si>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</si>
  <si>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</si>
  <si>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</si>
  <si>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</si>
  <si>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</si>
  <si>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</si>
  <si>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</si>
  <si>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</si>
  <si>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</si>
  <si>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</si>
  <si>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</si>
  <si>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</si>
  <si>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</si>
  <si>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</si>
  <si>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</si>
  <si>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</si>
  <si>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</si>
  <si>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</si>
  <si>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</si>
  <si>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</si>
  <si>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</si>
  <si>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</si>
  <si>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</si>
  <si>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</si>
  <si>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</si>
  <si>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</si>
  <si>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</si>
  <si>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</si>
  <si>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</si>
  <si>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</si>
  <si>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</si>
  <si>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</si>
  <si>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</si>
  <si>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</si>
  <si>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</si>
  <si>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</si>
  <si>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</si>
  <si>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</si>
  <si>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</si>
  <si>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</si>
  <si>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</si>
  <si>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</si>
  <si>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</si>
  <si>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</si>
  <si>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</si>
  <si>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</si>
  <si>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</si>
  <si>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</si>
  <si>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</si>
  <si>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</si>
  <si>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</si>
  <si>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</si>
  <si>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</si>
  <si>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</si>
  <si>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</si>
  <si>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</si>
  <si>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</si>
  <si>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</si>
  <si>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</si>
  <si>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</si>
  <si>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</si>
  <si>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</si>
  <si>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</si>
  <si>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</si>
  <si>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</si>
  <si>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</si>
  <si>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</si>
  <si>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</si>
  <si>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</si>
  <si>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</si>
  <si>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</si>
  <si>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</si>
  <si>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</si>
  <si>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</si>
  <si>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</si>
  <si>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</si>
  <si>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</si>
  <si>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</si>
  <si>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</si>
  <si>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</si>
  <si>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</si>
  <si>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</si>
  <si>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</si>
  <si>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</si>
  <si>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</si>
  <si>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</si>
  <si>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</si>
  <si>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</si>
  <si>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</si>
  <si>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</si>
  <si>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</si>
  <si>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</si>
  <si>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</si>
  <si>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</si>
  <si>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</si>
  <si>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</si>
  <si>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</si>
  <si>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</si>
  <si>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</si>
  <si>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</si>
  <si>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</si>
  <si>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</si>
  <si>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</si>
  <si>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</si>
  <si>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</si>
  <si>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</si>
  <si>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</si>
  <si>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</si>
  <si>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</si>
  <si>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</si>
  <si>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</si>
  <si>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Planteamiento del Problema</t>
  </si>
  <si>
    <t>Objetivos</t>
  </si>
  <si>
    <t>Alcance</t>
  </si>
  <si>
    <t>Elaboracion Preguntas de Entrevista</t>
  </si>
  <si>
    <t>Entrevista a cliente</t>
  </si>
  <si>
    <t>Desarrollo de la introducción del PP</t>
  </si>
  <si>
    <t>Plantear los objetivos a cumplir</t>
  </si>
  <si>
    <t>Redactar el alcance de proyecto</t>
  </si>
  <si>
    <t>Plantear preguntas para la entrevista</t>
  </si>
  <si>
    <t>Ing. Jenny Ruiz</t>
  </si>
  <si>
    <t>Jelen Lucio</t>
  </si>
  <si>
    <t>Bryan Cevallos</t>
  </si>
  <si>
    <t>Leopoldo Bolaños</t>
  </si>
  <si>
    <t>Noe Cahuatijo</t>
  </si>
  <si>
    <t>Lucio, Cevallos, Bolaños, Cahuatijo</t>
  </si>
  <si>
    <t>Matriz de Posibles Usuarios</t>
  </si>
  <si>
    <t>Desarrollo de matriz que abarca posibles usuarios</t>
  </si>
  <si>
    <t>Metodología</t>
  </si>
  <si>
    <t>Viabilidad</t>
  </si>
  <si>
    <t>Matriz de HU 1</t>
  </si>
  <si>
    <t>Entrevista 2 con el Usuario</t>
  </si>
  <si>
    <t>Matriz de HU 2</t>
  </si>
  <si>
    <t>Ideas a Defender</t>
  </si>
  <si>
    <t>Resultados Esperados</t>
  </si>
  <si>
    <t>Desarrollo del REQ001</t>
  </si>
  <si>
    <t>Desarrollo del REQ002</t>
  </si>
  <si>
    <t>Desarrollo del REQ003</t>
  </si>
  <si>
    <t>Desarrollo del REQ004</t>
  </si>
  <si>
    <t>Matriz de HU 3</t>
  </si>
  <si>
    <t>Matriz de HU 4</t>
  </si>
  <si>
    <t>Elaboración de la introduccion</t>
  </si>
  <si>
    <t>Plantear el problema del proyecto</t>
  </si>
  <si>
    <t>Realizar una corta entrevista al cliente</t>
  </si>
  <si>
    <t>Redactar la metodologia usada en el proyecto</t>
  </si>
  <si>
    <t>Evaluar la viabilidad el Proyecto</t>
  </si>
  <si>
    <t>Elaboracion de la primera versión de HU</t>
  </si>
  <si>
    <t>Realizar la segunda entrevista al cliente</t>
  </si>
  <si>
    <t>Elaboracion de la segunda version de HU</t>
  </si>
  <si>
    <t>Plantear las ideas a defender del proyecto</t>
  </si>
  <si>
    <t>Plantear los Resultados Esperado</t>
  </si>
  <si>
    <t>REQ001: Inicio de sesión seguro</t>
  </si>
  <si>
    <t>REQ002: Ingreso y validacion de productos</t>
  </si>
  <si>
    <t>REQ003: Catálogo y Estados</t>
  </si>
  <si>
    <t>REQ004: Categorización de productos</t>
  </si>
  <si>
    <t>17/12/025</t>
  </si>
  <si>
    <t>Revisión de Backlog Sprint1</t>
  </si>
  <si>
    <t>Matriz de HU 5</t>
  </si>
  <si>
    <t>Revisión de caja negra y caja blanca Sprint1, Sprint2</t>
  </si>
  <si>
    <t xml:space="preserve">Revisión de  Sprint1, Sprint2 , Sprint3 y Sprint4 </t>
  </si>
  <si>
    <t>Presentación de proyectos con funcionalidad SPRINT1,2,3y4</t>
  </si>
  <si>
    <t>Revisión de presentación de proyectos con funcionalidad SPRINT1,2,3y 4</t>
  </si>
  <si>
    <t>REQ011: Categorización de productos</t>
  </si>
  <si>
    <t>REQ012: Categorización de productos</t>
  </si>
  <si>
    <t>REQ013: Categorización de productos</t>
  </si>
  <si>
    <t>REQ014: Categorización de productos</t>
  </si>
  <si>
    <t>REQ015: Categorización de productos</t>
  </si>
  <si>
    <t>REQ016: Categorización de productos</t>
  </si>
  <si>
    <t>REQ017: Categorización de productos</t>
  </si>
  <si>
    <t>REQ005: Registro de salidas con motivos</t>
  </si>
  <si>
    <t>REQ006: Generación de reportes PDF/Excel</t>
  </si>
  <si>
    <t>REQ007: Historial de movimientos de inventario</t>
  </si>
  <si>
    <t>REQ008: Gestión de Usuarios y Accesos</t>
  </si>
  <si>
    <t>REQ009: Directorio de Proveedores</t>
  </si>
  <si>
    <t>REQ010: Gestión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</si>
</sst>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9" fillId="0" borderId="0" applyFill="0" applyBorder="0">
      <alignment horizontal="right"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F14D9754-154B-4E6C-B302-46C0BB38A024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7" activePane="bottomLeft" state="frozen"/>
      <selection pane="bottomLeft" activeCell="D17" sqref="D17:E17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1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60)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(10 de 60)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60)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(31 de 60)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(19 de 60)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60)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60)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60)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60)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60)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40: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Revisión de presentación de proyectos con funcionalidad SPRINT1,2,3y 4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59:</v>
      </c>
      <c r="X6" s="113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13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3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13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46035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3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13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46038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3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13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46038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3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13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Noe Cahuatijo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3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e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>#VALUE!</v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39: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Presentación de proyectos con funcionalidad SPRINT1,2,3y4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30: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Revisión de caja negra y caja blanca Sprint1, Sprint2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>Tarea 58:</v>
      </c>
      <c r="X15" s="113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>0</v>
      </c>
      <c r="Y15" s="113" t="e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>#VALUE!</v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0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>Descripción:</v>
      </c>
      <c r="X16" s="113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>0</v>
      </c>
      <c r="Y16" s="113" t="e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>#VALUE!</v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46035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46027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>Inicio:</v>
      </c>
      <c r="X17" s="113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>0</v>
      </c>
      <c r="Y17" s="113" t="e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>#VALUE!</v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46038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46034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>Previsto:</v>
      </c>
      <c r="X18" s="113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>0</v>
      </c>
      <c r="Y18" s="113" t="e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>#VALUE!</v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46038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46034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>Final:</v>
      </c>
      <c r="X19" s="113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>0</v>
      </c>
      <c r="Y19" s="113" t="e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>#VALUE!</v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4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8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>Duración:</v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e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>#VALUE!</v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>Retraso:</v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e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>#VALUE!</v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Jelen Lucio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Noe Cahuatijo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>Asignado:</v>
      </c>
      <c r="X22" s="113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>0</v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e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>#VALUE!</v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38: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 xml:space="preserve">Revisión de  Sprint1, Sprint2 , Sprint3 y Sprint4 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29: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Matriz de HU 5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>Tarea 57:</v>
      </c>
      <c r="X24" s="113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>0</v>
      </c>
      <c r="Y24" s="113" t="e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>#VALUE!</v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0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>Descripción:</v>
      </c>
      <c r="X25" s="113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>0</v>
      </c>
      <c r="Y25" s="113" t="e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>#VALUE!</v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46035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46027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>Inicio:</v>
      </c>
      <c r="X26" s="113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>0</v>
      </c>
      <c r="Y26" s="113" t="e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>#VALUE!</v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46038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46034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>Previsto:</v>
      </c>
      <c r="X27" s="113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>0</v>
      </c>
      <c r="Y27" s="113" t="e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>#VALUE!</v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46038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46034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>Final:</v>
      </c>
      <c r="X28" s="113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>0</v>
      </c>
      <c r="Y28" s="113" t="e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>#VALUE!</v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4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8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>Duración:</v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e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>#VALUE!</v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>Retraso:</v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e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>#VALUE!</v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Bryan Cevallos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Jelen Lucio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>Asignado:</v>
      </c>
      <c r="X31" s="113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>0</v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e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>#VALUE!</v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37:</v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REQ017: Categorización de productos</v>
      </c>
      <c r="J33" s="113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28: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Revisión de Backlog Sprint1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>Tarea 56:</v>
      </c>
      <c r="X33" s="113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>0</v>
      </c>
      <c r="Y33" s="113" t="e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>#VALUE!</v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3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0</v>
      </c>
      <c r="J34" s="113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>Descripción:</v>
      </c>
      <c r="X34" s="113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>0</v>
      </c>
      <c r="Y34" s="113" t="e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>#VALUE!</v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3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46027</v>
      </c>
      <c r="J35" s="113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46027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>Inicio:</v>
      </c>
      <c r="X35" s="113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>0</v>
      </c>
      <c r="Y35" s="113" t="e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>#VALUE!</v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3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46034</v>
      </c>
      <c r="J36" s="113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46034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>Previsto:</v>
      </c>
      <c r="X36" s="113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>0</v>
      </c>
      <c r="Y36" s="113" t="e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>#VALUE!</v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3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46034</v>
      </c>
      <c r="J37" s="113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46034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>Final:</v>
      </c>
      <c r="X37" s="113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>0</v>
      </c>
      <c r="Y37" s="113" t="e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>#VALUE!</v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8 días</v>
      </c>
      <c r="J38" s="113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8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>Duración:</v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e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>#VALUE!</v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3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>Retraso:</v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e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>#VALUE!</v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Leopoldo Bolaños</v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Jelen Lucio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>Asignado:</v>
      </c>
      <c r="X40" s="113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>0</v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e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>#VALUE!</v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36:</v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REQ016: Categorización de productos</v>
      </c>
      <c r="J42" s="113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27: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Matriz de HU 4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>Tarea 55:</v>
      </c>
      <c r="X42" s="113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>0</v>
      </c>
      <c r="Y42" s="113" t="e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>#VALUE!</v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3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0</v>
      </c>
      <c r="J43" s="113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>Descripción:</v>
      </c>
      <c r="X43" s="113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>0</v>
      </c>
      <c r="Y43" s="113" t="e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>#VALUE!</v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3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46027</v>
      </c>
      <c r="J44" s="113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46011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>Inicio:</v>
      </c>
      <c r="X44" s="113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>0</v>
      </c>
      <c r="Y44" s="113" t="e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>#VALUE!</v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3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46034</v>
      </c>
      <c r="J45" s="113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46019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>Previsto:</v>
      </c>
      <c r="X45" s="113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>0</v>
      </c>
      <c r="Y45" s="113" t="e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>#VALUE!</v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3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46034</v>
      </c>
      <c r="J46" s="113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46019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>Final:</v>
      </c>
      <c r="X46" s="113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>0</v>
      </c>
      <c r="Y46" s="113" t="e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>#VALUE!</v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8 días</v>
      </c>
      <c r="J47" s="113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9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>Duración:</v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e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>#VALUE!</v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3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>Retraso:</v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e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>#VALUE!</v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Jelen Lucio</v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Bryan Cevallos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>Asignado:</v>
      </c>
      <c r="X49" s="113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>0</v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e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>#VALUE!</v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35:</v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REQ015: Categorización de productos</v>
      </c>
      <c r="J51" s="113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26: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REQ010: Gestión de Clientes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>Tarea 54:</v>
      </c>
      <c r="X51" s="113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>0</v>
      </c>
      <c r="Y51" s="113" t="e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>#VALUE!</v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3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0</v>
      </c>
      <c r="J52" s="113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>Descripción:</v>
      </c>
      <c r="X52" s="113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>0</v>
      </c>
      <c r="Y52" s="113" t="e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>#VALUE!</v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3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46027</v>
      </c>
      <c r="J53" s="113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46011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>Inicio:</v>
      </c>
      <c r="X53" s="113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>0</v>
      </c>
      <c r="Y53" s="113" t="e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>#VALUE!</v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3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46034</v>
      </c>
      <c r="J54" s="113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46019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>Previsto:</v>
      </c>
      <c r="X54" s="113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>0</v>
      </c>
      <c r="Y54" s="113" t="e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>#VALUE!</v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3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46034</v>
      </c>
      <c r="J55" s="113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46019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>Final:</v>
      </c>
      <c r="X55" s="113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>0</v>
      </c>
      <c r="Y55" s="113" t="e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>#VALUE!</v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8 días</v>
      </c>
      <c r="J56" s="113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9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>Duración:</v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e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>#VALUE!</v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3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>Retraso:</v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e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>#VALUE!</v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Noe Cahuatijo</v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Noe Cahuatijo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>Asignado:</v>
      </c>
      <c r="X58" s="113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>0</v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e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>#VALUE!</v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34:</v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REQ014: Categorización de productos</v>
      </c>
      <c r="J60" s="113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25: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REQ009: Directorio de Proveedores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>Tarea 53:</v>
      </c>
      <c r="X60" s="113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>0</v>
      </c>
      <c r="Y60" s="113" t="e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>#VALUE!</v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13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0</v>
      </c>
      <c r="J61" s="113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>Descripción:</v>
      </c>
      <c r="X61" s="113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>0</v>
      </c>
      <c r="Y61" s="113" t="e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>#VALUE!</v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13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46027</v>
      </c>
      <c r="J62" s="113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46011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>Inicio:</v>
      </c>
      <c r="X62" s="113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>0</v>
      </c>
      <c r="Y62" s="113" t="e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>#VALUE!</v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13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46034</v>
      </c>
      <c r="J63" s="113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46019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>Previsto:</v>
      </c>
      <c r="X63" s="113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>0</v>
      </c>
      <c r="Y63" s="113" t="e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>#VALUE!</v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13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46034</v>
      </c>
      <c r="J64" s="113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46019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>Final:</v>
      </c>
      <c r="X64" s="113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>0</v>
      </c>
      <c r="Y64" s="113" t="e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>#VALUE!</v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8 días</v>
      </c>
      <c r="J65" s="113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9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>Duración:</v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e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>#VALUE!</v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13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>Retraso:</v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e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>#VALUE!</v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Bryan Cevallos</v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Jelen Lucio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>Asignado:</v>
      </c>
      <c r="X67" s="113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>0</v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e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>#VALUE!</v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33:</v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REQ013: Categorización de productos</v>
      </c>
      <c r="J69" s="113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24: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REQ008: Gestión de Usuarios y Accesos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>Tarea 52:</v>
      </c>
      <c r="X69" s="113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>0</v>
      </c>
      <c r="Y69" s="113" t="e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>#VALUE!</v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13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0</v>
      </c>
      <c r="J70" s="113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>Descripción:</v>
      </c>
      <c r="X70" s="113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>0</v>
      </c>
      <c r="Y70" s="113" t="e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>#VALUE!</v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13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46027</v>
      </c>
      <c r="J71" s="113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46011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>Inicio:</v>
      </c>
      <c r="X71" s="113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>0</v>
      </c>
      <c r="Y71" s="113" t="e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>#VALUE!</v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13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46034</v>
      </c>
      <c r="J72" s="113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46019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>Previsto:</v>
      </c>
      <c r="X72" s="113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>0</v>
      </c>
      <c r="Y72" s="113" t="e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>#VALUE!</v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13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46034</v>
      </c>
      <c r="J73" s="113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46019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>Final:</v>
      </c>
      <c r="X73" s="113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>0</v>
      </c>
      <c r="Y73" s="113" t="e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>#VALUE!</v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8 días</v>
      </c>
      <c r="J74" s="113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9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>Duración:</v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e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>#VALUE!</v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13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>Retraso:</v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e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>#VALUE!</v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Leopoldo Bolaños</v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Bryan Cevallos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>Asignado:</v>
      </c>
      <c r="X76" s="113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>0</v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e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>#VALUE!</v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32:</v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REQ012: Categorización de productos</v>
      </c>
      <c r="J78" s="113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23: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REQ007: Historial de movimientos de inventario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>Tarea 51:</v>
      </c>
      <c r="X78" s="113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>0</v>
      </c>
      <c r="Y78" s="113" t="e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>#VALUE!</v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13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0</v>
      </c>
      <c r="J79" s="113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>Descripción:</v>
      </c>
      <c r="X79" s="113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>0</v>
      </c>
      <c r="Y79" s="113" t="e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>#VALUE!</v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13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46027</v>
      </c>
      <c r="J80" s="113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46011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>Inicio:</v>
      </c>
      <c r="X80" s="113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>0</v>
      </c>
      <c r="Y80" s="113" t="e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>#VALUE!</v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13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46034</v>
      </c>
      <c r="J81" s="113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46019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>Previsto:</v>
      </c>
      <c r="X81" s="113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>0</v>
      </c>
      <c r="Y81" s="113" t="e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>#VALUE!</v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13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46034</v>
      </c>
      <c r="J82" s="113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46019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>Final:</v>
      </c>
      <c r="X82" s="113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>0</v>
      </c>
      <c r="Y82" s="113" t="e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>#VALUE!</v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8 días</v>
      </c>
      <c r="J83" s="113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>Duración:</v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e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>#VALUE!</v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13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>Retraso:</v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e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>#VALUE!</v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Leopoldo Bolaños</v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Leopoldo Bolaños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>Asignado:</v>
      </c>
      <c r="X85" s="113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>0</v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e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e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>#VALUE!</v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31:</v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>REQ011: Categorización de productos</v>
      </c>
      <c r="J87" s="113" t="e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22: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Revisión de Backlog Sprint1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>Tarea 50:</v>
      </c>
      <c r="X87" s="113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>0</v>
      </c>
      <c r="Y87" s="113" t="e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>#VALUE!</v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13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>0</v>
      </c>
      <c r="J88" s="113" t="e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>Descripción:</v>
      </c>
      <c r="X88" s="113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>0</v>
      </c>
      <c r="Y88" s="113" t="e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>#VALUE!</v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13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>46027</v>
      </c>
      <c r="J89" s="113" t="e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46011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>Inicio:</v>
      </c>
      <c r="X89" s="113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>0</v>
      </c>
      <c r="Y89" s="113" t="e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>#VALUE!</v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13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>46034</v>
      </c>
      <c r="J90" s="113" t="e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46019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>Previsto:</v>
      </c>
      <c r="X90" s="113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>0</v>
      </c>
      <c r="Y90" s="113" t="e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>#VALUE!</v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13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>46034</v>
      </c>
      <c r="J91" s="113" t="e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46019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>Final:</v>
      </c>
      <c r="X91" s="113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>0</v>
      </c>
      <c r="Y91" s="113" t="e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>#VALUE!</v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>8 días</v>
      </c>
      <c r="J92" s="113" t="e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9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>Duración:</v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e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>#VALUE!</v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>0 días</v>
      </c>
      <c r="J93" s="113" t="e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>Retraso:</v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e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>#VALUE!</v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>Bryan Cevallos</v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Jelen Lucio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>Asignado:</v>
      </c>
      <c r="X94" s="113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>0</v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e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>#VALUE!</v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21: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REQ006: Generación de reportes PDF/Excel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>Tarea 49:</v>
      </c>
      <c r="X96" s="113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>0</v>
      </c>
      <c r="Y96" s="113" t="e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>#VALUE!</v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>Descripción:</v>
      </c>
      <c r="X97" s="113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>0</v>
      </c>
      <c r="Y97" s="113" t="e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>#VALUE!</v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46011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>Inicio:</v>
      </c>
      <c r="X98" s="113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>0</v>
      </c>
      <c r="Y98" s="113" t="e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>#VALUE!</v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46019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>Previsto:</v>
      </c>
      <c r="X99" s="113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>0</v>
      </c>
      <c r="Y99" s="113" t="e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>#VALUE!</v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46019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>Final:</v>
      </c>
      <c r="X100" s="113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>0</v>
      </c>
      <c r="Y100" s="113" t="e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>#VALUE!</v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9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>Duración:</v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e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>#VALUE!</v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>Retraso:</v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e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>#VALUE!</v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Noe Cahuatijo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>Asignado:</v>
      </c>
      <c r="X103" s="113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>0</v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e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>#VALUE!</v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20: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REQ005: Registro de salidas con motivos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>Tarea 48:</v>
      </c>
      <c r="X105" s="113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>0</v>
      </c>
      <c r="Y105" s="113" t="e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>#VALUE!</v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>Descripción:</v>
      </c>
      <c r="X106" s="113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>0</v>
      </c>
      <c r="Y106" s="113" t="e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>#VALUE!</v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46011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>Inicio:</v>
      </c>
      <c r="X107" s="113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>0</v>
      </c>
      <c r="Y107" s="113" t="e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>#VALUE!</v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46019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>Previsto:</v>
      </c>
      <c r="X108" s="113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>0</v>
      </c>
      <c r="Y108" s="113" t="e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>#VALUE!</v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46019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>Final:</v>
      </c>
      <c r="X109" s="113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>0</v>
      </c>
      <c r="Y109" s="113" t="e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>#VALUE!</v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9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>Duración:</v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e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>#VALUE!</v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>Retraso:</v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e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>#VALUE!</v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Cevallos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>Asignado:</v>
      </c>
      <c r="X112" s="113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>0</v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e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>#VALUE!</v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19: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Matriz de HU 3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>Tarea 47:</v>
      </c>
      <c r="X114" s="113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>0</v>
      </c>
      <c r="Y114" s="113" t="e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>#VALUE!</v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>Descripción:</v>
      </c>
      <c r="X115" s="113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>0</v>
      </c>
      <c r="Y115" s="113" t="e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>#VALUE!</v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46001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>Inicio:</v>
      </c>
      <c r="X116" s="113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>0</v>
      </c>
      <c r="Y116" s="113" t="e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>#VALUE!</v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17/12/025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>Previsto:</v>
      </c>
      <c r="X117" s="113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>0</v>
      </c>
      <c r="Y117" s="113" t="e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>#VALUE!</v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46008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>Final:</v>
      </c>
      <c r="X118" s="113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>0</v>
      </c>
      <c r="Y118" s="113" t="e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>#VALUE!</v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8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>Duración:</v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e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>#VALUE!</v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>Retraso:</v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e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>#VALUE!</v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Leopoldo Bolaños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>Asignado:</v>
      </c>
      <c r="X121" s="113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>0</v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e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>#VALUE!</v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18: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REQ004: Categorización de productos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>Tarea 46:</v>
      </c>
      <c r="X123" s="113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>0</v>
      </c>
      <c r="Y123" s="113" t="e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>#VALUE!</v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Desarrollo del REQ004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>Descripción:</v>
      </c>
      <c r="X124" s="113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>0</v>
      </c>
      <c r="Y124" s="113" t="e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>#VALUE!</v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45987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>Inicio:</v>
      </c>
      <c r="X125" s="113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>0</v>
      </c>
      <c r="Y125" s="113" t="e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>#VALUE!</v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45994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>Previsto:</v>
      </c>
      <c r="X126" s="113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>0</v>
      </c>
      <c r="Y126" s="113" t="e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>#VALUE!</v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45994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>Final:</v>
      </c>
      <c r="X127" s="113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>0</v>
      </c>
      <c r="Y127" s="113" t="e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>#VALUE!</v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8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>Duración:</v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e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>#VALUE!</v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>Retraso:</v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e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>#VALUE!</v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Leopoldo Bolaños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>Asignado:</v>
      </c>
      <c r="X130" s="113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>0</v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e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>#VALUE!</v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17: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REQ003: Catálogo y Estados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>Tarea 45:</v>
      </c>
      <c r="X132" s="113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>0</v>
      </c>
      <c r="Y132" s="113" t="e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>#VALUE!</v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Desarrollo del REQ003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>Descripción:</v>
      </c>
      <c r="X133" s="113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>0</v>
      </c>
      <c r="Y133" s="113" t="e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>#VALUE!</v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45987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>Inicio:</v>
      </c>
      <c r="X134" s="113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>0</v>
      </c>
      <c r="Y134" s="113" t="e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>#VALUE!</v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45994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>Previsto:</v>
      </c>
      <c r="X135" s="113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>0</v>
      </c>
      <c r="Y135" s="113" t="e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>#VALUE!</v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45994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>Final:</v>
      </c>
      <c r="X136" s="113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>0</v>
      </c>
      <c r="Y136" s="113" t="e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>#VALUE!</v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8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>Duración:</v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e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>#VALUE!</v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>Retraso:</v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e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>#VALUE!</v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Cevallos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>Asignado:</v>
      </c>
      <c r="X139" s="113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>0</v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e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>#VALUE!</v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16: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REQ002: Ingreso y validacion de productos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>Tarea 44:</v>
      </c>
      <c r="X141" s="113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>0</v>
      </c>
      <c r="Y141" s="113" t="e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>#VALUE!</v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Desarrollo del REQ002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>Descripción:</v>
      </c>
      <c r="X142" s="113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>0</v>
      </c>
      <c r="Y142" s="113" t="e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>#VALUE!</v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45987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>Inicio:</v>
      </c>
      <c r="X143" s="113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>0</v>
      </c>
      <c r="Y143" s="113" t="e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>#VALUE!</v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45994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>Previsto:</v>
      </c>
      <c r="X144" s="113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>0</v>
      </c>
      <c r="Y144" s="113" t="e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>#VALUE!</v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45994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>Final:</v>
      </c>
      <c r="X145" s="113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>0</v>
      </c>
      <c r="Y145" s="113" t="e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>#VALUE!</v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8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>Duración:</v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e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>#VALUE!</v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>Retraso:</v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e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>#VALUE!</v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Noe Cahuatijo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>Asignado:</v>
      </c>
      <c r="X148" s="113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>0</v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e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>#VALUE!</v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15: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REQ001: Inicio de sesión seguro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>Tarea 43:</v>
      </c>
      <c r="X150" s="113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>0</v>
      </c>
      <c r="Y150" s="113" t="e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>#VALUE!</v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Desarrollo del REQ001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>Descripción:</v>
      </c>
      <c r="X151" s="113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>0</v>
      </c>
      <c r="Y151" s="113" t="e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>#VALUE!</v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45987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>Inicio:</v>
      </c>
      <c r="X152" s="113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>0</v>
      </c>
      <c r="Y152" s="113" t="e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>#VALUE!</v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45994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>Previsto:</v>
      </c>
      <c r="X153" s="113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>0</v>
      </c>
      <c r="Y153" s="113" t="e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>#VALUE!</v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45994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>Final:</v>
      </c>
      <c r="X154" s="113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>0</v>
      </c>
      <c r="Y154" s="113" t="e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>#VALUE!</v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8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>Duración:</v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e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>#VALUE!</v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>Retraso:</v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e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>#VALUE!</v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Jelen Lucio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>Asignado:</v>
      </c>
      <c r="X157" s="113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>0</v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e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>#VALUE!</v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14: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Resultados Esperados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>Tarea 42:</v>
      </c>
      <c r="X159" s="113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>0</v>
      </c>
      <c r="Y159" s="113" t="e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>#VALUE!</v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Plantear los Resultados Esperado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>Descripción:</v>
      </c>
      <c r="X160" s="113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>0</v>
      </c>
      <c r="Y160" s="113" t="e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>#VALUE!</v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45985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>Inicio:</v>
      </c>
      <c r="X161" s="113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>0</v>
      </c>
      <c r="Y161" s="113" t="e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>#VALUE!</v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45989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>Previsto:</v>
      </c>
      <c r="X162" s="113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>0</v>
      </c>
      <c r="Y162" s="113" t="e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>#VALUE!</v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45989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>Final:</v>
      </c>
      <c r="X163" s="113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>0</v>
      </c>
      <c r="Y163" s="113" t="e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>#VALUE!</v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5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>Duración:</v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e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>#VALUE!</v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>Retraso:</v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e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>#VALUE!</v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Bryan Cevallos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>Asignado:</v>
      </c>
      <c r="X166" s="113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>0</v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e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>#VALUE!</v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13: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Ideas a Defender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>Tarea 41:</v>
      </c>
      <c r="X168" s="113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>0</v>
      </c>
      <c r="Y168" s="113" t="e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>#VALUE!</v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Plantear las ideas a defender del proyecto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>Descripción:</v>
      </c>
      <c r="X169" s="113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>0</v>
      </c>
      <c r="Y169" s="113" t="e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>#VALUE!</v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45985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>Inicio:</v>
      </c>
      <c r="X170" s="113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>0</v>
      </c>
      <c r="Y170" s="113" t="e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>#VALUE!</v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45989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>Previsto:</v>
      </c>
      <c r="X171" s="113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>0</v>
      </c>
      <c r="Y171" s="113" t="e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>#VALUE!</v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45989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>Final:</v>
      </c>
      <c r="X172" s="113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>0</v>
      </c>
      <c r="Y172" s="113" t="e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>#VALUE!</v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5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>Duración:</v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e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>#VALUE!</v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>Retraso:</v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e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>#VALUE!</v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Leopoldo Bolaños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>Asignado:</v>
      </c>
      <c r="X175" s="113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>0</v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12: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Matriz de HU 2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Elaboracion de la segunda version de HU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45974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45985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45985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12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Noe Cahuatijo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11: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Entrevista 2 con el Usuario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Realizar la segunda entrevista al cliente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45971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45974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45974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4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Lucio, Cevallos, Bolaños, Cahuatijo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10: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Matriz de HU 1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Elaboracion de la primera versión de HU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45967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45971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45971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5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17" activePane="bottomLeft" state="frozen"/>
      <selection pane="bottomLeft" activeCell="D20" sqref="D20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1" style="3" customWidth="1"/>
    <col min="12" max="16384" width="11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6</v>
      </c>
      <c r="C2" s="104" t="s">
        <v>248</v>
      </c>
      <c r="D2" s="102" t="s">
        <v>223</v>
      </c>
      <c r="E2" s="103">
        <v>45947</v>
      </c>
      <c r="F2" s="93">
        <v>45953</v>
      </c>
      <c r="G2" s="93">
        <v>45953</v>
      </c>
      <c r="H2" s="43" t="str">
        <f>IF(Datos!$G2&gt;0,Datos!$G2-Datos!$E2+1 &amp; " " &amp; Idiomas!$A$29,"")</f>
        <v>7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6</v>
      </c>
      <c r="C3" s="3" t="s">
        <v>218</v>
      </c>
      <c r="D3" s="104" t="s">
        <v>249</v>
      </c>
      <c r="E3" s="105">
        <v>45947</v>
      </c>
      <c r="F3" s="96">
        <v>45953</v>
      </c>
      <c r="G3" s="96">
        <v>45953</v>
      </c>
      <c r="H3" s="45" t="str">
        <f>IF(Datos!$G3&gt;0,Datos!$G3-Datos!$E3+1 &amp; " " &amp; Idiomas!$A$29,"")</f>
        <v>7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219</v>
      </c>
      <c r="D4" s="92" t="s">
        <v>224</v>
      </c>
      <c r="E4" s="103">
        <v>45947</v>
      </c>
      <c r="F4" s="93">
        <v>45953</v>
      </c>
      <c r="G4" s="93">
        <v>45953</v>
      </c>
      <c r="H4" s="43" t="str">
        <f>IF(Datos!$G4&gt;0,Datos!$G4-Datos!$E4+1 &amp; " " &amp; Idiomas!$A$29,"")</f>
        <v>7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6</v>
      </c>
      <c r="C5" s="3" t="s">
        <v>220</v>
      </c>
      <c r="D5" s="95" t="s">
        <v>225</v>
      </c>
      <c r="E5" s="96">
        <v>45947</v>
      </c>
      <c r="F5" s="96">
        <v>45953</v>
      </c>
      <c r="G5" s="96">
        <v>45953</v>
      </c>
      <c r="H5" s="45" t="str">
        <f>IF(Datos!$G5&gt;0,Datos!$G5-Datos!$E5+1 &amp; " " &amp; Idiomas!$A$29,"")</f>
        <v>7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5</v>
      </c>
      <c r="B6" s="92" t="s">
        <v>6</v>
      </c>
      <c r="C6" s="107" t="s">
        <v>233</v>
      </c>
      <c r="D6" s="102" t="s">
        <v>234</v>
      </c>
      <c r="E6" s="93">
        <v>45947</v>
      </c>
      <c r="F6" s="93">
        <v>45953</v>
      </c>
      <c r="G6" s="93">
        <v>45953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106" t="s">
        <v>221</v>
      </c>
      <c r="D7" s="95" t="s">
        <v>226</v>
      </c>
      <c r="E7" s="96">
        <v>45947</v>
      </c>
      <c r="F7" s="96">
        <v>45953</v>
      </c>
      <c r="G7" s="96">
        <v>45953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228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6</v>
      </c>
      <c r="C8" s="109" t="s">
        <v>222</v>
      </c>
      <c r="D8" s="102" t="s">
        <v>250</v>
      </c>
      <c r="E8" s="110">
        <v>45947</v>
      </c>
      <c r="F8" s="93">
        <v>45953</v>
      </c>
      <c r="G8" s="110">
        <v>45953</v>
      </c>
      <c r="H8" s="43" t="str">
        <f>IF(Datos!$G8&gt;0,Datos!$G8-Datos!$E8+1 &amp; " " &amp; Idiomas!$A$29,"")</f>
        <v>7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232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6</v>
      </c>
      <c r="C9" s="106" t="s">
        <v>235</v>
      </c>
      <c r="D9" s="95" t="s">
        <v>251</v>
      </c>
      <c r="E9" s="96">
        <v>45957</v>
      </c>
      <c r="F9" s="96">
        <v>45961</v>
      </c>
      <c r="G9" s="96">
        <v>45961</v>
      </c>
      <c r="H9" s="45" t="str">
        <f>IF(Datos!$G9&gt;0,Datos!$G9-Datos!$E9+1 &amp; " " &amp; Idiomas!$A$29,"")</f>
        <v>5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6</v>
      </c>
      <c r="C10" s="107" t="s">
        <v>236</v>
      </c>
      <c r="D10" s="92" t="s">
        <v>252</v>
      </c>
      <c r="E10" s="93">
        <v>45957</v>
      </c>
      <c r="F10" s="93">
        <v>45961</v>
      </c>
      <c r="G10" s="93">
        <v>45961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6</v>
      </c>
      <c r="C11" s="106" t="s">
        <v>237</v>
      </c>
      <c r="D11" s="95" t="s">
        <v>253</v>
      </c>
      <c r="E11" s="97">
        <v>45967</v>
      </c>
      <c r="F11" s="96">
        <v>45971</v>
      </c>
      <c r="G11" s="96">
        <v>45971</v>
      </c>
      <c r="H11" s="45" t="str">
        <f>IF(Datos!$G11&gt;0,Datos!$G11-Datos!$E11+1 &amp; " " &amp; Idiomas!$A$29,"")</f>
        <v>5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6</v>
      </c>
      <c r="C12" s="107" t="s">
        <v>238</v>
      </c>
      <c r="D12" s="102" t="s">
        <v>254</v>
      </c>
      <c r="E12" s="98">
        <v>45971</v>
      </c>
      <c r="F12" s="93">
        <v>45974</v>
      </c>
      <c r="G12" s="93">
        <v>45974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6</v>
      </c>
      <c r="C13" s="108" t="s">
        <v>239</v>
      </c>
      <c r="D13" s="104" t="s">
        <v>255</v>
      </c>
      <c r="E13" s="96">
        <v>45974</v>
      </c>
      <c r="F13" s="96">
        <v>45985</v>
      </c>
      <c r="G13" s="96">
        <v>45985</v>
      </c>
      <c r="H13" s="45" t="str">
        <f>IF(Datos!$G13&gt;0,Datos!$G13-Datos!$E13+1 &amp; " " &amp; Idiomas!$A$29,"")</f>
        <v>12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231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6</v>
      </c>
      <c r="C14" s="107" t="s">
        <v>240</v>
      </c>
      <c r="D14" s="102" t="s">
        <v>256</v>
      </c>
      <c r="E14" s="110">
        <v>45985</v>
      </c>
      <c r="F14" s="93">
        <v>45989</v>
      </c>
      <c r="G14" s="110">
        <v>45989</v>
      </c>
      <c r="H14" s="43" t="str">
        <f>IF(Datos!$G14&gt;0,Datos!$G14-Datos!$E14+1 &amp; " " &amp; Idiomas!$A$29,"")</f>
        <v>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6</v>
      </c>
      <c r="C15" s="106" t="s">
        <v>241</v>
      </c>
      <c r="D15" s="95" t="s">
        <v>257</v>
      </c>
      <c r="E15" s="111">
        <v>45985</v>
      </c>
      <c r="F15" s="96">
        <v>45989</v>
      </c>
      <c r="G15" s="111">
        <v>45989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5</v>
      </c>
      <c r="B16" s="92" t="s">
        <v>6</v>
      </c>
      <c r="C16" s="112" t="s">
        <v>258</v>
      </c>
      <c r="D16" s="102" t="s">
        <v>242</v>
      </c>
      <c r="E16" s="110">
        <v>45987</v>
      </c>
      <c r="F16" s="110">
        <v>45994</v>
      </c>
      <c r="G16" s="110">
        <v>45994</v>
      </c>
      <c r="H16" s="43" t="str">
        <f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6</v>
      </c>
      <c r="C17" s="106" t="s">
        <v>259</v>
      </c>
      <c r="D17" s="104" t="s">
        <v>243</v>
      </c>
      <c r="E17" s="111">
        <v>45987</v>
      </c>
      <c r="F17" s="96">
        <v>45994</v>
      </c>
      <c r="G17" s="96">
        <v>45994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6</v>
      </c>
      <c r="C18" s="109" t="s">
        <v>260</v>
      </c>
      <c r="D18" s="92" t="s">
        <v>244</v>
      </c>
      <c r="E18" s="110">
        <v>45987</v>
      </c>
      <c r="F18" s="110">
        <v>45994</v>
      </c>
      <c r="G18" s="110">
        <v>45994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229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6</v>
      </c>
      <c r="C19" s="106" t="s">
        <v>261</v>
      </c>
      <c r="D19" s="95" t="s">
        <v>245</v>
      </c>
      <c r="E19" s="111">
        <v>45987</v>
      </c>
      <c r="F19" s="111">
        <v>45994</v>
      </c>
      <c r="G19" s="111">
        <v>45994</v>
      </c>
      <c r="H19" s="45" t="str">
        <f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6</v>
      </c>
      <c r="C20" s="109" t="s">
        <v>246</v>
      </c>
      <c r="D20" s="92"/>
      <c r="E20" s="110">
        <v>46001</v>
      </c>
      <c r="F20" s="110" t="s">
        <v>262</v>
      </c>
      <c r="G20" s="110">
        <v>46008</v>
      </c>
      <c r="H20" s="43" t="str">
        <f>IF(Datos!$G20&gt;0,Datos!$G20-Datos!$E20+1 &amp; " " &amp; Idiomas!$A$29,"")</f>
        <v>8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6</v>
      </c>
      <c r="C21" s="108" t="s">
        <v>276</v>
      </c>
      <c r="D21" s="104"/>
      <c r="E21" s="111">
        <v>46011</v>
      </c>
      <c r="F21" s="111">
        <v>46019</v>
      </c>
      <c r="G21" s="111">
        <v>46019</v>
      </c>
      <c r="H21" s="45" t="str">
        <f>IF(Datos!$G21&gt;0,Datos!$G21-Datos!$E21+1 &amp; " " &amp; Idiomas!$A$29,"")</f>
        <v>9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229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6</v>
      </c>
      <c r="C22" s="109" t="s">
        <v>277</v>
      </c>
      <c r="D22" s="92"/>
      <c r="E22" s="110">
        <v>46011</v>
      </c>
      <c r="F22" s="110">
        <v>46019</v>
      </c>
      <c r="G22" s="110">
        <v>46019</v>
      </c>
      <c r="H22" s="43" t="str">
        <f>IF(Datos!$G22&gt;0,Datos!$G22-Datos!$E22+1 &amp; " " &amp; Idiomas!$A$29,"")</f>
        <v>9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3</v>
      </c>
      <c r="C23" s="106" t="s">
        <v>263</v>
      </c>
      <c r="D23" s="95"/>
      <c r="E23" s="111">
        <v>46011</v>
      </c>
      <c r="F23" s="111">
        <v>46019</v>
      </c>
      <c r="G23" s="111">
        <v>46019</v>
      </c>
      <c r="H23" s="45" t="str">
        <f>IF(Datos!$G23&gt;0,Datos!$G23-Datos!$E23+1 &amp; " " &amp; Idiomas!$A$29,"")</f>
        <v>9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228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6</v>
      </c>
      <c r="C24" s="109" t="s">
        <v>278</v>
      </c>
      <c r="D24" s="92"/>
      <c r="E24" s="110">
        <v>46011</v>
      </c>
      <c r="F24" s="110">
        <v>46019</v>
      </c>
      <c r="G24" s="110">
        <v>46019</v>
      </c>
      <c r="H24" s="43" t="str">
        <f>IF(Datos!$G24&gt;0,Datos!$G24-Datos!$E24+1 &amp; " " &amp; Idiomas!$A$29,"")</f>
        <v>9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230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6</v>
      </c>
      <c r="C25" s="106" t="s">
        <v>279</v>
      </c>
      <c r="D25" s="95"/>
      <c r="E25" s="111">
        <v>46011</v>
      </c>
      <c r="F25" s="111">
        <v>46019</v>
      </c>
      <c r="G25" s="111">
        <v>46019</v>
      </c>
      <c r="H25" s="45" t="str">
        <f>IF(Datos!$G25&gt;0,Datos!$G25-Datos!$E25+1 &amp; " " &amp; Idiomas!$A$29,"")</f>
        <v>9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6</v>
      </c>
      <c r="C26" s="109" t="s">
        <v>280</v>
      </c>
      <c r="D26" s="92"/>
      <c r="E26" s="110">
        <v>46011</v>
      </c>
      <c r="F26" s="110">
        <v>46019</v>
      </c>
      <c r="G26" s="110">
        <v>46019</v>
      </c>
      <c r="H26" s="43" t="str">
        <f>IF(Datos!$G26&gt;0,Datos!$G26-Datos!$E26+1 &amp; " " &amp; Idiomas!$A$29,"")</f>
        <v>9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228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6</v>
      </c>
      <c r="C27" s="106" t="s">
        <v>281</v>
      </c>
      <c r="D27" s="95"/>
      <c r="E27" s="111">
        <v>46011</v>
      </c>
      <c r="F27" s="111">
        <v>46019</v>
      </c>
      <c r="G27" s="111">
        <v>46019</v>
      </c>
      <c r="H27" s="45" t="str">
        <f>IF(Datos!$G27&gt;0,Datos!$G27-Datos!$E27+1 &amp; " " &amp; Idiomas!$A$29,"")</f>
        <v>9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6</v>
      </c>
      <c r="C28" s="109" t="s">
        <v>247</v>
      </c>
      <c r="D28" s="92"/>
      <c r="E28" s="110">
        <v>46011</v>
      </c>
      <c r="F28" s="110">
        <v>46019</v>
      </c>
      <c r="G28" s="110">
        <v>46019</v>
      </c>
      <c r="H28" s="43" t="str">
        <f>IF(Datos!$G28&gt;0,Datos!$G28-Datos!$E28+1 &amp; " " &amp; Idiomas!$A$29,"")</f>
        <v>9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5</v>
      </c>
      <c r="B29" s="95" t="s">
        <v>3</v>
      </c>
      <c r="C29" s="106" t="s">
        <v>263</v>
      </c>
      <c r="D29" s="95"/>
      <c r="E29" s="111">
        <v>46027</v>
      </c>
      <c r="F29" s="111">
        <v>46034</v>
      </c>
      <c r="G29" s="111">
        <v>46034</v>
      </c>
      <c r="H29" s="45" t="str">
        <f>IF(Datos!$G29&gt;0,Datos!$G29-Datos!$E29+1 &amp; " " &amp; Idiomas!$A$29,"")</f>
        <v>8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228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5</v>
      </c>
      <c r="B30" s="92" t="s">
        <v>6</v>
      </c>
      <c r="C30" s="109" t="s">
        <v>264</v>
      </c>
      <c r="D30" s="92"/>
      <c r="E30" s="110">
        <v>46027</v>
      </c>
      <c r="F30" s="110">
        <v>46034</v>
      </c>
      <c r="G30" s="110">
        <v>46034</v>
      </c>
      <c r="H30" s="43" t="str">
        <f>IF(Datos!$G30&gt;0,Datos!$G30-Datos!$E30+1 &amp; " " &amp; Idiomas!$A$29,"")</f>
        <v>8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228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5</v>
      </c>
      <c r="B31" s="95" t="s">
        <v>3</v>
      </c>
      <c r="C31" s="106" t="s">
        <v>265</v>
      </c>
      <c r="D31" s="95"/>
      <c r="E31" s="111">
        <v>46027</v>
      </c>
      <c r="F31" s="111">
        <v>46034</v>
      </c>
      <c r="G31" s="111">
        <v>46034</v>
      </c>
      <c r="H31" s="45" t="str">
        <f>IF(Datos!$G31&gt;0,Datos!$G31-Datos!$E31+1 &amp; " " &amp; Idiomas!$A$29,"")</f>
        <v>8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231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7</v>
      </c>
      <c r="B32" s="92" t="s">
        <v>6</v>
      </c>
      <c r="C32" s="109" t="s">
        <v>269</v>
      </c>
      <c r="D32" s="92"/>
      <c r="E32" s="110">
        <v>46027</v>
      </c>
      <c r="F32" s="110">
        <v>46034</v>
      </c>
      <c r="G32" s="110">
        <v>46034</v>
      </c>
      <c r="H32" s="43" t="str">
        <f>IF(Datos!$G32&gt;0,Datos!$G32-Datos!$E32+1 &amp; " " &amp; Idiomas!$A$29,"")</f>
        <v>8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229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7</v>
      </c>
      <c r="B33" s="95" t="s">
        <v>6</v>
      </c>
      <c r="C33" s="106" t="s">
        <v>270</v>
      </c>
      <c r="D33" s="95"/>
      <c r="E33" s="111">
        <v>46027</v>
      </c>
      <c r="F33" s="111">
        <v>46034</v>
      </c>
      <c r="G33" s="111">
        <v>46034</v>
      </c>
      <c r="H33" s="45" t="str">
        <f>IF(Datos!$G33&gt;0,Datos!$G33-Datos!$E33+1 &amp; " " &amp; Idiomas!$A$29,"")</f>
        <v>8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230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7</v>
      </c>
      <c r="B34" s="92" t="s">
        <v>6</v>
      </c>
      <c r="C34" s="109" t="s">
        <v>271</v>
      </c>
      <c r="D34" s="92"/>
      <c r="E34" s="110">
        <v>46027</v>
      </c>
      <c r="F34" s="110">
        <v>46034</v>
      </c>
      <c r="G34" s="110">
        <v>46034</v>
      </c>
      <c r="H34" s="43" t="str">
        <f>IF(Datos!$G34&gt;0,Datos!$G34-Datos!$E34+1 &amp; " " &amp; Idiomas!$A$29,"")</f>
        <v>8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230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7</v>
      </c>
      <c r="B35" s="95" t="s">
        <v>6</v>
      </c>
      <c r="C35" s="106" t="s">
        <v>272</v>
      </c>
      <c r="D35" s="95"/>
      <c r="E35" s="111">
        <v>46027</v>
      </c>
      <c r="F35" s="111">
        <v>46034</v>
      </c>
      <c r="G35" s="111">
        <v>46034</v>
      </c>
      <c r="H35" s="45" t="str">
        <f>IF(Datos!$G35&gt;0,Datos!$G35-Datos!$E35+1 &amp; " " &amp; Idiomas!$A$29,"")</f>
        <v>8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229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7</v>
      </c>
      <c r="B36" s="92" t="s">
        <v>6</v>
      </c>
      <c r="C36" s="109" t="s">
        <v>273</v>
      </c>
      <c r="D36" s="92"/>
      <c r="E36" s="110">
        <v>46027</v>
      </c>
      <c r="F36" s="110">
        <v>46034</v>
      </c>
      <c r="G36" s="110">
        <v>46034</v>
      </c>
      <c r="H36" s="43" t="str">
        <f>IF(Datos!$G36&gt;0,Datos!$G36-Datos!$E36+1 &amp; " " &amp; Idiomas!$A$29,"")</f>
        <v>8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231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7</v>
      </c>
      <c r="B37" s="95" t="s">
        <v>6</v>
      </c>
      <c r="C37" s="106" t="s">
        <v>274</v>
      </c>
      <c r="D37" s="95"/>
      <c r="E37" s="111">
        <v>46027</v>
      </c>
      <c r="F37" s="111">
        <v>46034</v>
      </c>
      <c r="G37" s="111">
        <v>46034</v>
      </c>
      <c r="H37" s="45" t="str">
        <f>IF(Datos!$G37&gt;0,Datos!$G37-Datos!$E37+1 &amp; " " &amp; Idiomas!$A$29,"")</f>
        <v>8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228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7</v>
      </c>
      <c r="B38" s="92" t="s">
        <v>6</v>
      </c>
      <c r="C38" s="109" t="s">
        <v>275</v>
      </c>
      <c r="D38" s="92"/>
      <c r="E38" s="110">
        <v>46027</v>
      </c>
      <c r="F38" s="110">
        <v>46034</v>
      </c>
      <c r="G38" s="110">
        <v>46034</v>
      </c>
      <c r="H38" s="43" t="str">
        <f>IF(Datos!$G38&gt;0,Datos!$G38-Datos!$E38+1 &amp; " " &amp; Idiomas!$A$29,"")</f>
        <v>8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230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7</v>
      </c>
      <c r="B39" s="95" t="s">
        <v>3</v>
      </c>
      <c r="C39" s="106" t="s">
        <v>266</v>
      </c>
      <c r="D39" s="95"/>
      <c r="E39" s="111">
        <v>46035</v>
      </c>
      <c r="F39" s="111">
        <v>46038</v>
      </c>
      <c r="G39" s="111">
        <v>46038</v>
      </c>
      <c r="H39" s="45" t="str">
        <f>IF(Datos!$G39&gt;0,Datos!$G39-Datos!$E39+1 &amp; " " &amp; Idiomas!$A$29,"")</f>
        <v>4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229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7</v>
      </c>
      <c r="B40" s="92" t="s">
        <v>3</v>
      </c>
      <c r="C40" s="109" t="s">
        <v>267</v>
      </c>
      <c r="D40" s="92"/>
      <c r="E40" s="110">
        <v>46035</v>
      </c>
      <c r="F40" s="110">
        <v>46038</v>
      </c>
      <c r="G40" s="110">
        <v>46038</v>
      </c>
      <c r="H40" s="43" t="str">
        <f>IF(Datos!$G40&gt;0,Datos!$G40-Datos!$E40+1 &amp; " " &amp; Idiomas!$A$29,"")</f>
        <v>4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228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7</v>
      </c>
      <c r="B41" s="95" t="s">
        <v>3</v>
      </c>
      <c r="C41" s="106" t="s">
        <v>268</v>
      </c>
      <c r="D41" s="95"/>
      <c r="E41" s="111">
        <v>46035</v>
      </c>
      <c r="F41" s="111">
        <v>46038</v>
      </c>
      <c r="G41" s="111">
        <v>46038</v>
      </c>
      <c r="H41" s="45" t="str">
        <f>IF(Datos!$G41&gt;0,Datos!$G41-Datos!$E41+1 &amp; " " &amp; Idiomas!$A$29,"")</f>
        <v>4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231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19</v>
      </c>
      <c r="B42" s="92" t="s">
        <v>3</v>
      </c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19</v>
      </c>
      <c r="B43" s="95" t="s">
        <v>6</v>
      </c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19</v>
      </c>
      <c r="B44" s="92" t="s">
        <v>8</v>
      </c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19</v>
      </c>
      <c r="B45" s="95" t="s">
        <v>3</v>
      </c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19</v>
      </c>
      <c r="B46" s="92" t="s">
        <v>6</v>
      </c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19</v>
      </c>
      <c r="B47" s="95" t="s">
        <v>8</v>
      </c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19</v>
      </c>
      <c r="B48" s="92" t="s">
        <v>8</v>
      </c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19</v>
      </c>
      <c r="B49" s="95" t="s">
        <v>6</v>
      </c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19</v>
      </c>
      <c r="B50" s="92" t="s">
        <v>8</v>
      </c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19</v>
      </c>
      <c r="B51" s="95" t="s">
        <v>3</v>
      </c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19</v>
      </c>
      <c r="B52" s="92" t="s">
        <v>8</v>
      </c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19</v>
      </c>
      <c r="B53" s="95" t="s">
        <v>3</v>
      </c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19</v>
      </c>
      <c r="B54" s="92" t="s">
        <v>3</v>
      </c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19</v>
      </c>
      <c r="B55" s="95" t="s">
        <v>8</v>
      </c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19</v>
      </c>
      <c r="B56" s="92" t="s">
        <v>6</v>
      </c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19</v>
      </c>
      <c r="B57" s="95" t="s">
        <v>6</v>
      </c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19</v>
      </c>
      <c r="B58" s="92" t="s">
        <v>6</v>
      </c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19</v>
      </c>
      <c r="B59" s="95" t="s">
        <v>6</v>
      </c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19</v>
      </c>
      <c r="B60" s="92" t="s">
        <v>6</v>
      </c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1:E101 E2:E4 E11:E13 G61:G101 F2:F15 G17 F17 F61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J2:J27 J61:J101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5" workbookViewId="0">
      <selection activeCell="H22" sqref="H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1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227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1" style="2" customWidth="1"/>
    <col min="2" max="2" width="10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1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R-195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R-195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R195:R202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R-186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R-186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R186:R193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R-177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R-177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R177:R184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R-168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R-168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R168:R175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R-159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R-159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R159:R166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R-150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R-150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R150:R157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R-141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R-141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R141:R148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R-132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R-132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R132:R139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R-123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R-123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R123:R130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R-114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R-114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R114:R121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R-105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R-105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R105:R112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R-96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R-96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R96:R103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R-87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R-87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R87:R94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R-78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R-78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R78:R85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R-69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R-69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R69:R76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R-60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R-60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R60:R67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R-51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R-51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R51:R58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R-42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R-42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R42:R49</v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R-33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R-33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R33:R40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R-24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R-24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R24:R31</v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R-15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R-15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R15:R22</v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H-87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H-87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H87:H94</v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H-78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H-78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H78:H85</v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>H-69</v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H-69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H69:H76</v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2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>H-60</v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H-60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H60:H67</v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2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>H-51</v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H-51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H51:H58</v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2</v>
      </c>
      <c r="C37" s="57">
        <f>IFERROR(MATCH(Datos!$B37,Configura!$D$9:$D$11,0),0)</f>
        <v>1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>H-42</v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H-42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H42:H49</v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2</v>
      </c>
      <c r="C38" s="53">
        <f>IFERROR(MATCH(Datos!$B38,Configura!$D$9:$D$11,0),0)</f>
        <v>1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>H-33</v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H-33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H33:H40</v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2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>H-24</v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H-24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H24:H31</v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H-15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H-15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H15:H22</v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2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>H-6</v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H-6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H6:H13</v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5</v>
      </c>
      <c r="C42" s="53">
        <f>IFERROR(MATCH(Datos!$B42,Configura!$D$9:$D$11,0),0)</f>
        <v>2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>W-168</v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W-168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W168:W175</v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5</v>
      </c>
      <c r="C43" s="57">
        <f>IFERROR(MATCH(Datos!$B43,Configura!$D$9:$D$11,0),0)</f>
        <v>1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>W-159</v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W-159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W159:W166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5</v>
      </c>
      <c r="C44" s="53">
        <f>IFERROR(MATCH(Datos!$B44,Configura!$D$9:$D$11,0),0)</f>
        <v>3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>W-150</v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W-150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W150:W157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5</v>
      </c>
      <c r="C45" s="57">
        <f>IFERROR(MATCH(Datos!$B45,Configura!$D$9:$D$11,0),0)</f>
        <v>2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>W-141</v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W-141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W141:W148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5</v>
      </c>
      <c r="C46" s="53">
        <f>IFERROR(MATCH(Datos!$B46,Configura!$D$9:$D$11,0),0)</f>
        <v>1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>W-132</v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W-132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W132:W139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5</v>
      </c>
      <c r="C47" s="57">
        <f>IFERROR(MATCH(Datos!$B47,Configura!$D$9:$D$11,0),0)</f>
        <v>3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>W-123</v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W-123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W123:W130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5</v>
      </c>
      <c r="C48" s="53">
        <f>IFERROR(MATCH(Datos!$B48,Configura!$D$9:$D$11,0),0)</f>
        <v>3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>W-114</v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W-114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W114:W121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5</v>
      </c>
      <c r="C49" s="57">
        <f>IFERROR(MATCH(Datos!$B49,Configura!$D$9:$D$11,0),0)</f>
        <v>1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>W-105</v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W-105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W105:W112</v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5</v>
      </c>
      <c r="C50" s="53">
        <f>IFERROR(MATCH(Datos!$B50,Configura!$D$9:$D$11,0),0)</f>
        <v>3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>W-96</v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>W-96</v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>W96:W103</v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5</v>
      </c>
      <c r="C51" s="57">
        <f>IFERROR(MATCH(Datos!$B51,Configura!$D$9:$D$11,0),0)</f>
        <v>2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>W-87</v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>W-87</v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>W87:W94</v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5</v>
      </c>
      <c r="C52" s="53">
        <f>IFERROR(MATCH(Datos!$B52,Configura!$D$9:$D$11,0),0)</f>
        <v>3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>W-78</v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>W-78</v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>W78:W85</v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5</v>
      </c>
      <c r="C53" s="57">
        <f>IFERROR(MATCH(Datos!$B53,Configura!$D$9:$D$11,0),0)</f>
        <v>2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>W-69</v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>W-69</v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>W69:W76</v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5</v>
      </c>
      <c r="C54" s="53">
        <f>IFERROR(MATCH(Datos!$B54,Configura!$D$9:$D$11,0),0)</f>
        <v>2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>W-60</v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>W-60</v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>W60:W67</v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5</v>
      </c>
      <c r="C55" s="57">
        <f>IFERROR(MATCH(Datos!$B55,Configura!$D$9:$D$11,0),0)</f>
        <v>3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>W-51</v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>W-51</v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>W51:W58</v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5</v>
      </c>
      <c r="C56" s="53">
        <f>IFERROR(MATCH(Datos!$B56,Configura!$D$9:$D$11,0),0)</f>
        <v>1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>W-42</v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>W-42</v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>W42:W49</v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5</v>
      </c>
      <c r="C57" s="57">
        <f>IFERROR(MATCH(Datos!$B57,Configura!$D$9:$D$11,0),0)</f>
        <v>1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>W-33</v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W-33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W33:W40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5</v>
      </c>
      <c r="C58" s="53">
        <f>IFERROR(MATCH(Datos!$B58,Configura!$D$9:$D$11,0),0)</f>
        <v>1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>W-24</v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W-24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W24:W31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5</v>
      </c>
      <c r="C59" s="57">
        <f>IFERROR(MATCH(Datos!$B59,Configura!$D$9:$D$11,0),0)</f>
        <v>1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>W-15</v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W-15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W15:W22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5</v>
      </c>
      <c r="C60" s="53">
        <f>IFERROR(MATCH(Datos!$B60,Configura!$D$9:$D$11,0),0)</f>
        <v>1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>W-6</v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W-6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W6:W13</v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1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59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1-1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59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1-2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40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>
        <f t="shared" ca="1" si="4"/>
        <v>59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1-3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40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>
        <f t="shared" ca="1" si="4"/>
        <v>59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1-4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40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>
        <f t="shared" ca="1" si="4"/>
        <v>59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1-5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40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>
        <f t="shared" ca="1" si="4"/>
        <v>59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1-6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40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>
        <f t="shared" ca="1" si="4"/>
        <v>59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1-7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40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>
        <f t="shared" ca="1" si="4"/>
        <v>59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1-8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40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59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39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30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>
        <f t="shared" ca="1" si="4"/>
        <v>58</v>
      </c>
      <c r="Y12" s="20" cm="1">
        <f t="array" aca="1" ref="Y12" ca="1">IF(X12="","",IF(X12&lt;&gt;X11,1,IF(Y11=misLíneas-2,0,Y11+1)))</f>
        <v>1</v>
      </c>
      <c r="Z12" s="20" t="str" cm="1">
        <f t="array" aca="1" ref="Z12" ca="1">IF(OR(Y12=0,Y12=""),"",INDEX(misCriticidades,X12)&amp;"-"&amp;IFERROR(MATCH(Y12,miOrdenTarjeta,0),0))</f>
        <v>1-1</v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39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30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>
        <f t="shared" ca="1" si="4"/>
        <v>58</v>
      </c>
      <c r="Y13" s="20" cm="1">
        <f t="array" aca="1" ref="Y13" ca="1">IF(X13="","",IF(X13&lt;&gt;X12,1,IF(Y12=misLíneas-2,0,Y12+1)))</f>
        <v>2</v>
      </c>
      <c r="Z13" s="20" t="str" cm="1">
        <f t="array" aca="1" ref="Z13" ca="1">IF(OR(Y13=0,Y13=""),"",INDEX(misCriticidades,X13)&amp;"-"&amp;IFERROR(MATCH(Y13,miOrdenTarjeta,0),0))</f>
        <v>1-2</v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>
        <f t="shared" ca="1" si="1"/>
        <v>39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30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>
        <f t="shared" ca="1" si="4"/>
        <v>58</v>
      </c>
      <c r="Y14" s="20" cm="1">
        <f t="array" aca="1" ref="Y14" ca="1">IF(X14="","",IF(X14&lt;&gt;X13,1,IF(Y13=misLíneas-2,0,Y13+1)))</f>
        <v>3</v>
      </c>
      <c r="Z14" s="20" t="str" cm="1">
        <f t="array" aca="1" ref="Z14" ca="1">IF(OR(Y14=0,Y14=""),"",INDEX(misCriticidades,X14)&amp;"-"&amp;IFERROR(MATCH(Y14,miOrdenTarjeta,0),0))</f>
        <v>1-3</v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39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30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>
        <f t="shared" ca="1" si="4"/>
        <v>58</v>
      </c>
      <c r="Y15" s="20" cm="1">
        <f t="array" aca="1" ref="Y15" ca="1">IF(X15="","",IF(X15&lt;&gt;X14,1,IF(Y14=misLíneas-2,0,Y14+1)))</f>
        <v>4</v>
      </c>
      <c r="Z15" s="20" t="str" cm="1">
        <f t="array" aca="1" ref="Z15" ca="1">IF(OR(Y15=0,Y15=""),"",INDEX(misCriticidades,X15)&amp;"-"&amp;IFERROR(MATCH(Y15,miOrdenTarjeta,0),0))</f>
        <v>1-4</v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39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30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>
        <f t="shared" ca="1" si="4"/>
        <v>58</v>
      </c>
      <c r="Y16" s="20" cm="1">
        <f t="array" aca="1" ref="Y16" ca="1">IF(X16="","",IF(X16&lt;&gt;X15,1,IF(Y15=misLíneas-2,0,Y15+1)))</f>
        <v>5</v>
      </c>
      <c r="Z16" s="20" t="str" cm="1">
        <f t="array" aca="1" ref="Z16" ca="1">IF(OR(Y16=0,Y16=""),"",INDEX(misCriticidades,X16)&amp;"-"&amp;IFERROR(MATCH(Y16,miOrdenTarjeta,0),0))</f>
        <v>1-5</v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39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30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>
        <f t="shared" ca="1" si="4"/>
        <v>58</v>
      </c>
      <c r="Y17" s="20" cm="1">
        <f t="array" aca="1" ref="Y17" ca="1">IF(X17="","",IF(X17&lt;&gt;X16,1,IF(Y16=misLíneas-2,0,Y16+1)))</f>
        <v>6</v>
      </c>
      <c r="Z17" s="20" t="str" cm="1">
        <f t="array" aca="1" ref="Z17" ca="1">IF(OR(Y17=0,Y17=""),"",INDEX(misCriticidades,X17)&amp;"-"&amp;IFERROR(MATCH(Y17,miOrdenTarjeta,0),0))</f>
        <v>1-6</v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39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30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>
        <f t="shared" ca="1" si="4"/>
        <v>58</v>
      </c>
      <c r="Y18" s="20" cm="1">
        <f t="array" aca="1" ref="Y18" ca="1">IF(X18="","",IF(X18&lt;&gt;X17,1,IF(Y17=misLíneas-2,0,Y17+1)))</f>
        <v>7</v>
      </c>
      <c r="Z18" s="20" t="str" cm="1">
        <f t="array" aca="1" ref="Z18" ca="1">IF(OR(Y18=0,Y18=""),"",INDEX(misCriticidades,X18)&amp;"-"&amp;IFERROR(MATCH(Y18,miOrdenTarjeta,0),0))</f>
        <v>1-7</v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39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30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>
        <f t="shared" ca="1" si="4"/>
        <v>58</v>
      </c>
      <c r="Y19" s="20" cm="1">
        <f t="array" aca="1" ref="Y19" ca="1">IF(X19="","",IF(X19&lt;&gt;X18,1,IF(Y18=misLíneas-2,0,Y18+1)))</f>
        <v>8</v>
      </c>
      <c r="Z19" s="20" t="str" cm="1">
        <f t="array" aca="1" ref="Z19" ca="1">IF(OR(Y19=0,Y19=""),"",INDEX(misCriticidades,X19)&amp;"-"&amp;IFERROR(MATCH(Y19,miOrdenTarjeta,0),0))</f>
        <v>1-8</v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39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30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>
        <f t="shared" ca="1" si="4"/>
        <v>58</v>
      </c>
      <c r="Y20" s="20" cm="1">
        <f t="array" aca="1" ref="Y20" ca="1">IF(X20="","",IF(X20&lt;&gt;X19,1,IF(Y19=misLíneas-2,0,Y19+1)))</f>
        <v>0</v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38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29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3</v>
      </c>
      <c r="X21" s="20">
        <f t="shared" ca="1" si="4"/>
        <v>57</v>
      </c>
      <c r="Y21" s="20" cm="1">
        <f t="array" aca="1" ref="Y21" ca="1">IF(X21="","",IF(X21&lt;&gt;X20,1,IF(Y20=misLíneas-2,0,Y20+1)))</f>
        <v>1</v>
      </c>
      <c r="Z21" s="20" t="str" cm="1">
        <f t="array" aca="1" ref="Z21" ca="1">IF(OR(Y21=0,Y21=""),"",INDEX(misCriticidades,X21)&amp;"-"&amp;IFERROR(MATCH(Y21,miOrdenTarjeta,0),0))</f>
        <v>1-1</v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38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29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3</v>
      </c>
      <c r="X22" s="20">
        <f t="shared" ca="1" si="4"/>
        <v>57</v>
      </c>
      <c r="Y22" s="20" cm="1">
        <f t="array" aca="1" ref="Y22" ca="1">IF(X22="","",IF(X22&lt;&gt;X21,1,IF(Y21=misLíneas-2,0,Y21+1)))</f>
        <v>2</v>
      </c>
      <c r="Z22" s="20" t="str" cm="1">
        <f t="array" aca="1" ref="Z22" ca="1">IF(OR(Y22=0,Y22=""),"",INDEX(misCriticidades,X22)&amp;"-"&amp;IFERROR(MATCH(Y22,miOrdenTarjeta,0),0))</f>
        <v>1-2</v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38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29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3</v>
      </c>
      <c r="X23" s="20">
        <f t="shared" ca="1" si="4"/>
        <v>57</v>
      </c>
      <c r="Y23" s="20" cm="1">
        <f t="array" aca="1" ref="Y23" ca="1">IF(X23="","",IF(X23&lt;&gt;X22,1,IF(Y22=misLíneas-2,0,Y22+1)))</f>
        <v>3</v>
      </c>
      <c r="Z23" s="20" t="str" cm="1">
        <f t="array" aca="1" ref="Z23" ca="1">IF(OR(Y23=0,Y23=""),"",INDEX(misCriticidades,X23)&amp;"-"&amp;IFERROR(MATCH(Y23,miOrdenTarjeta,0),0))</f>
        <v>1-3</v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38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29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3</v>
      </c>
      <c r="X24" s="20">
        <f t="shared" ca="1" si="4"/>
        <v>57</v>
      </c>
      <c r="Y24" s="20" cm="1">
        <f t="array" aca="1" ref="Y24" ca="1">IF(X24="","",IF(X24&lt;&gt;X23,1,IF(Y23=misLíneas-2,0,Y23+1)))</f>
        <v>4</v>
      </c>
      <c r="Z24" s="20" t="str" cm="1">
        <f t="array" aca="1" ref="Z24" ca="1">IF(OR(Y24=0,Y24=""),"",INDEX(misCriticidades,X24)&amp;"-"&amp;IFERROR(MATCH(Y24,miOrdenTarjeta,0),0))</f>
        <v>1-4</v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38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29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3</v>
      </c>
      <c r="X25" s="20">
        <f t="shared" ca="1" si="4"/>
        <v>57</v>
      </c>
      <c r="Y25" s="20" cm="1">
        <f t="array" aca="1" ref="Y25" ca="1">IF(X25="","",IF(X25&lt;&gt;X24,1,IF(Y24=misLíneas-2,0,Y24+1)))</f>
        <v>5</v>
      </c>
      <c r="Z25" s="20" t="str" cm="1">
        <f t="array" aca="1" ref="Z25" ca="1">IF(OR(Y25=0,Y25=""),"",INDEX(misCriticidades,X25)&amp;"-"&amp;IFERROR(MATCH(Y25,miOrdenTarjeta,0),0))</f>
        <v>1-5</v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38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29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3</v>
      </c>
      <c r="X26" s="20">
        <f t="shared" ca="1" si="4"/>
        <v>57</v>
      </c>
      <c r="Y26" s="20" cm="1">
        <f t="array" aca="1" ref="Y26" ca="1">IF(X26="","",IF(X26&lt;&gt;X25,1,IF(Y25=misLíneas-2,0,Y25+1)))</f>
        <v>6</v>
      </c>
      <c r="Z26" s="20" t="str" cm="1">
        <f t="array" aca="1" ref="Z26" ca="1">IF(OR(Y26=0,Y26=""),"",INDEX(misCriticidades,X26)&amp;"-"&amp;IFERROR(MATCH(Y26,miOrdenTarjeta,0),0))</f>
        <v>1-6</v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38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29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3</v>
      </c>
      <c r="X27" s="20">
        <f t="shared" ca="1" si="4"/>
        <v>57</v>
      </c>
      <c r="Y27" s="20" cm="1">
        <f t="array" aca="1" ref="Y27" ca="1">IF(X27="","",IF(X27&lt;&gt;X26,1,IF(Y26=misLíneas-2,0,Y26+1)))</f>
        <v>7</v>
      </c>
      <c r="Z27" s="20" t="str" cm="1">
        <f t="array" aca="1" ref="Z27" ca="1">IF(OR(Y27=0,Y27=""),"",INDEX(misCriticidades,X27)&amp;"-"&amp;IFERROR(MATCH(Y27,miOrdenTarjeta,0),0))</f>
        <v>1-7</v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38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29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3</v>
      </c>
      <c r="X28" s="20">
        <f t="shared" ca="1" si="4"/>
        <v>57</v>
      </c>
      <c r="Y28" s="20" cm="1">
        <f t="array" aca="1" ref="Y28" ca="1">IF(X28="","",IF(X28&lt;&gt;X27,1,IF(Y27=misLíneas-2,0,Y27+1)))</f>
        <v>8</v>
      </c>
      <c r="Z28" s="20" t="str" cm="1">
        <f t="array" aca="1" ref="Z28" ca="1">IF(OR(Y28=0,Y28=""),"",INDEX(misCriticidades,X28)&amp;"-"&amp;IFERROR(MATCH(Y28,miOrdenTarjeta,0),0))</f>
        <v>1-8</v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38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29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3</v>
      </c>
      <c r="X29" s="20">
        <f t="shared" ca="1" si="4"/>
        <v>57</v>
      </c>
      <c r="Y29" s="20" cm="1">
        <f t="array" aca="1" ref="Y29" ca="1">IF(X29="","",IF(X29&lt;&gt;X28,1,IF(Y28=misLíneas-2,0,Y28+1)))</f>
        <v>0</v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37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1-1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28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4</v>
      </c>
      <c r="X30" s="20">
        <f t="shared" ca="1" si="4"/>
        <v>56</v>
      </c>
      <c r="Y30" s="20" cm="1">
        <f t="array" aca="1" ref="Y30" ca="1">IF(X30="","",IF(X30&lt;&gt;X29,1,IF(Y29=misLíneas-2,0,Y29+1)))</f>
        <v>1</v>
      </c>
      <c r="Z30" s="20" t="str" cm="1">
        <f t="array" aca="1" ref="Z30" ca="1">IF(OR(Y30=0,Y30=""),"",INDEX(misCriticidades,X30)&amp;"-"&amp;IFERROR(MATCH(Y30,miOrdenTarjeta,0),0))</f>
        <v>1-1</v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37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1-2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28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4</v>
      </c>
      <c r="X31" s="20">
        <f t="shared" ca="1" si="4"/>
        <v>56</v>
      </c>
      <c r="Y31" s="20" cm="1">
        <f t="array" aca="1" ref="Y31" ca="1">IF(X31="","",IF(X31&lt;&gt;X30,1,IF(Y30=misLíneas-2,0,Y30+1)))</f>
        <v>2</v>
      </c>
      <c r="Z31" s="20" t="str" cm="1">
        <f t="array" aca="1" ref="Z31" ca="1">IF(OR(Y31=0,Y31=""),"",INDEX(misCriticidades,X31)&amp;"-"&amp;IFERROR(MATCH(Y31,miOrdenTarjeta,0),0))</f>
        <v>1-2</v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>
        <f t="shared" ca="1" si="1"/>
        <v>37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1-3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28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4</v>
      </c>
      <c r="X32" s="20">
        <f t="shared" ca="1" si="4"/>
        <v>56</v>
      </c>
      <c r="Y32" s="20" cm="1">
        <f t="array" aca="1" ref="Y32" ca="1">IF(X32="","",IF(X32&lt;&gt;X31,1,IF(Y31=misLíneas-2,0,Y31+1)))</f>
        <v>3</v>
      </c>
      <c r="Z32" s="20" t="str" cm="1">
        <f t="array" aca="1" ref="Z32" ca="1">IF(OR(Y32=0,Y32=""),"",INDEX(misCriticidades,X32)&amp;"-"&amp;IFERROR(MATCH(Y32,miOrdenTarjeta,0),0))</f>
        <v>1-3</v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37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1-4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28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4</v>
      </c>
      <c r="X33" s="20">
        <f t="shared" ca="1" si="4"/>
        <v>56</v>
      </c>
      <c r="Y33" s="20" cm="1">
        <f t="array" aca="1" ref="Y33" ca="1">IF(X33="","",IF(X33&lt;&gt;X32,1,IF(Y32=misLíneas-2,0,Y32+1)))</f>
        <v>4</v>
      </c>
      <c r="Z33" s="20" t="str" cm="1">
        <f t="array" aca="1" ref="Z33" ca="1">IF(OR(Y33=0,Y33=""),"",INDEX(misCriticidades,X33)&amp;"-"&amp;IFERROR(MATCH(Y33,miOrdenTarjeta,0),0))</f>
        <v>1-4</v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37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1-5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28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4</v>
      </c>
      <c r="X34" s="20">
        <f t="shared" ca="1" si="4"/>
        <v>56</v>
      </c>
      <c r="Y34" s="20" cm="1">
        <f t="array" aca="1" ref="Y34" ca="1">IF(X34="","",IF(X34&lt;&gt;X33,1,IF(Y33=misLíneas-2,0,Y33+1)))</f>
        <v>5</v>
      </c>
      <c r="Z34" s="20" t="str" cm="1">
        <f t="array" aca="1" ref="Z34" ca="1">IF(OR(Y34=0,Y34=""),"",INDEX(misCriticidades,X34)&amp;"-"&amp;IFERROR(MATCH(Y34,miOrdenTarjeta,0),0))</f>
        <v>1-5</v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>
        <f ca="1"/>
        <v>34</v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37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1-6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28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4</v>
      </c>
      <c r="X35" s="20">
        <f t="shared" ref="X35:X66" ca="1" si="25">IF(W35&gt;W34,IFERROR(IF(Z$1="v",SMALL(V$2:V$101,W35),LARGE(V$2:V$101,W35)),""),X34)</f>
        <v>56</v>
      </c>
      <c r="Y35" s="20" cm="1">
        <f t="array" aca="1" ref="Y35" ca="1">IF(X35="","",IF(X35&lt;&gt;X34,1,IF(Y34=misLíneas-2,0,Y34+1)))</f>
        <v>6</v>
      </c>
      <c r="Z35" s="20" t="str" cm="1">
        <f t="array" aca="1" ref="Z35" ca="1">IF(OR(Y35=0,Y35=""),"",INDEX(misCriticidades,X35)&amp;"-"&amp;IFERROR(MATCH(Y35,miOrdenTarjeta,0),0))</f>
        <v>1-6</v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>
        <f ca="1"/>
        <v>35</v>
      </c>
      <c r="H36" s="20">
        <f t="shared" ca="1" si="11"/>
        <v>4</v>
      </c>
      <c r="I36" s="20">
        <f t="shared" ca="1" si="22"/>
        <v>37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1-7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28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4</v>
      </c>
      <c r="X36" s="20">
        <f t="shared" ca="1" si="25"/>
        <v>56</v>
      </c>
      <c r="Y36" s="20" cm="1">
        <f t="array" aca="1" ref="Y36" ca="1">IF(X36="","",IF(X36&lt;&gt;X35,1,IF(Y35=misLíneas-2,0,Y35+1)))</f>
        <v>7</v>
      </c>
      <c r="Z36" s="20" t="str" cm="1">
        <f t="array" aca="1" ref="Z36" ca="1">IF(OR(Y36=0,Y36=""),"",INDEX(misCriticidades,X36)&amp;"-"&amp;IFERROR(MATCH(Y36,miOrdenTarjeta,0),0))</f>
        <v>1-7</v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>
        <f ca="1"/>
        <v>36</v>
      </c>
      <c r="H37" s="20">
        <f t="shared" ca="1" si="11"/>
        <v>4</v>
      </c>
      <c r="I37" s="20">
        <f t="shared" ca="1" si="22"/>
        <v>37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1-8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28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4</v>
      </c>
      <c r="X37" s="20">
        <f t="shared" ca="1" si="25"/>
        <v>56</v>
      </c>
      <c r="Y37" s="20" cm="1">
        <f t="array" aca="1" ref="Y37" ca="1">IF(X37="","",IF(X37&lt;&gt;X36,1,IF(Y36=misLíneas-2,0,Y36+1)))</f>
        <v>8</v>
      </c>
      <c r="Z37" s="20" t="str" cm="1">
        <f t="array" aca="1" ref="Z37" ca="1">IF(OR(Y37=0,Y37=""),"",INDEX(misCriticidades,X37)&amp;"-"&amp;IFERROR(MATCH(Y37,miOrdenTarjeta,0),0))</f>
        <v>1-8</v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>
        <f ca="1"/>
        <v>37</v>
      </c>
      <c r="H38" s="20">
        <f t="shared" ca="1" si="11"/>
        <v>4</v>
      </c>
      <c r="I38" s="20">
        <f t="shared" ca="1" si="22"/>
        <v>37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28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4</v>
      </c>
      <c r="X38" s="20">
        <f t="shared" ca="1" si="25"/>
        <v>56</v>
      </c>
      <c r="Y38" s="20" cm="1">
        <f t="array" aca="1" ref="Y38" ca="1">IF(X38="","",IF(X38&lt;&gt;X37,1,IF(Y37=misLíneas-2,0,Y37+1)))</f>
        <v>0</v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>
        <f ca="1"/>
        <v>38</v>
      </c>
      <c r="H39" s="20">
        <f t="shared" ca="1" si="11"/>
        <v>5</v>
      </c>
      <c r="I39" s="20">
        <f t="shared" ca="1" si="22"/>
        <v>36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1-1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27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5</v>
      </c>
      <c r="X39" s="20">
        <f t="shared" ca="1" si="25"/>
        <v>55</v>
      </c>
      <c r="Y39" s="20" cm="1">
        <f t="array" aca="1" ref="Y39" ca="1">IF(X39="","",IF(X39&lt;&gt;X38,1,IF(Y38=misLíneas-2,0,Y38+1)))</f>
        <v>1</v>
      </c>
      <c r="Z39" s="20" t="str" cm="1">
        <f t="array" aca="1" ref="Z39" ca="1">IF(OR(Y39=0,Y39=""),"",INDEX(misCriticidades,X39)&amp;"-"&amp;IFERROR(MATCH(Y39,miOrdenTarjeta,0),0))</f>
        <v>1-1</v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5</v>
      </c>
      <c r="I40" s="20">
        <f t="shared" ca="1" si="22"/>
        <v>36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1-2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27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5</v>
      </c>
      <c r="X40" s="20">
        <f t="shared" ca="1" si="25"/>
        <v>55</v>
      </c>
      <c r="Y40" s="20" cm="1">
        <f t="array" aca="1" ref="Y40" ca="1">IF(X40="","",IF(X40&lt;&gt;X39,1,IF(Y39=misLíneas-2,0,Y39+1)))</f>
        <v>2</v>
      </c>
      <c r="Z40" s="20" t="str" cm="1">
        <f t="array" aca="1" ref="Z40" ca="1">IF(OR(Y40=0,Y40=""),"",INDEX(misCriticidades,X40)&amp;"-"&amp;IFERROR(MATCH(Y40,miOrdenTarjeta,0),0))</f>
        <v>1-2</v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>
        <f ca="1"/>
        <v>40</v>
      </c>
      <c r="H41" s="20">
        <f t="shared" ca="1" si="11"/>
        <v>5</v>
      </c>
      <c r="I41" s="20">
        <f t="shared" ca="1" si="22"/>
        <v>36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1-3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27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5</v>
      </c>
      <c r="X41" s="20">
        <f t="shared" ca="1" si="25"/>
        <v>55</v>
      </c>
      <c r="Y41" s="20" cm="1">
        <f t="array" aca="1" ref="Y41" ca="1">IF(X41="","",IF(X41&lt;&gt;X40,1,IF(Y40=misLíneas-2,0,Y40+1)))</f>
        <v>3</v>
      </c>
      <c r="Z41" s="20" t="str" cm="1">
        <f t="array" aca="1" ref="Z41" ca="1">IF(OR(Y41=0,Y41=""),"",INDEX(misCriticidades,X41)&amp;"-"&amp;IFERROR(MATCH(Y41,miOrdenTarjeta,0),0))</f>
        <v>1-3</v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36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1-4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27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>
        <f ca="1"/>
        <v>41</v>
      </c>
      <c r="W42" s="20">
        <f t="shared" ca="1" si="14"/>
        <v>5</v>
      </c>
      <c r="X42" s="20">
        <f t="shared" ca="1" si="25"/>
        <v>55</v>
      </c>
      <c r="Y42" s="20" cm="1">
        <f t="array" aca="1" ref="Y42" ca="1">IF(X42="","",IF(X42&lt;&gt;X41,1,IF(Y41=misLíneas-2,0,Y41+1)))</f>
        <v>4</v>
      </c>
      <c r="Z42" s="20" t="str" cm="1">
        <f t="array" aca="1" ref="Z42" ca="1">IF(OR(Y42=0,Y42=""),"",INDEX(misCriticidades,X42)&amp;"-"&amp;IFERROR(MATCH(Y42,miOrdenTarjeta,0),0))</f>
        <v>1-4</v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36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1-5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27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>
        <f ca="1"/>
        <v>42</v>
      </c>
      <c r="W43" s="20">
        <f t="shared" ca="1" si="14"/>
        <v>5</v>
      </c>
      <c r="X43" s="20">
        <f t="shared" ca="1" si="25"/>
        <v>55</v>
      </c>
      <c r="Y43" s="20" cm="1">
        <f t="array" aca="1" ref="Y43" ca="1">IF(X43="","",IF(X43&lt;&gt;X42,1,IF(Y42=misLíneas-2,0,Y42+1)))</f>
        <v>5</v>
      </c>
      <c r="Z43" s="20" t="str" cm="1">
        <f t="array" aca="1" ref="Z43" ca="1">IF(OR(Y43=0,Y43=""),"",INDEX(misCriticidades,X43)&amp;"-"&amp;IFERROR(MATCH(Y43,miOrdenTarjeta,0),0))</f>
        <v>1-5</v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36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1-6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27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>
        <f ca="1"/>
        <v>43</v>
      </c>
      <c r="W44" s="20">
        <f t="shared" ca="1" si="14"/>
        <v>5</v>
      </c>
      <c r="X44" s="20">
        <f t="shared" ca="1" si="25"/>
        <v>55</v>
      </c>
      <c r="Y44" s="20" cm="1">
        <f t="array" aca="1" ref="Y44" ca="1">IF(X44="","",IF(X44&lt;&gt;X43,1,IF(Y43=misLíneas-2,0,Y43+1)))</f>
        <v>6</v>
      </c>
      <c r="Z44" s="20" t="str" cm="1">
        <f t="array" aca="1" ref="Z44" ca="1">IF(OR(Y44=0,Y44=""),"",INDEX(misCriticidades,X44)&amp;"-"&amp;IFERROR(MATCH(Y44,miOrdenTarjeta,0),0))</f>
        <v>1-6</v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36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1-7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27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>
        <f ca="1"/>
        <v>44</v>
      </c>
      <c r="W45" s="20">
        <f t="shared" ca="1" si="14"/>
        <v>5</v>
      </c>
      <c r="X45" s="20">
        <f t="shared" ca="1" si="25"/>
        <v>55</v>
      </c>
      <c r="Y45" s="20" cm="1">
        <f t="array" aca="1" ref="Y45" ca="1">IF(X45="","",IF(X45&lt;&gt;X44,1,IF(Y44=misLíneas-2,0,Y44+1)))</f>
        <v>7</v>
      </c>
      <c r="Z45" s="20" t="str" cm="1">
        <f t="array" aca="1" ref="Z45" ca="1">IF(OR(Y45=0,Y45=""),"",INDEX(misCriticidades,X45)&amp;"-"&amp;IFERROR(MATCH(Y45,miOrdenTarjeta,0),0))</f>
        <v>1-7</v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36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1-8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27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>
        <f ca="1"/>
        <v>45</v>
      </c>
      <c r="W46" s="20">
        <f t="shared" ca="1" si="14"/>
        <v>5</v>
      </c>
      <c r="X46" s="20">
        <f t="shared" ca="1" si="25"/>
        <v>55</v>
      </c>
      <c r="Y46" s="20" cm="1">
        <f t="array" aca="1" ref="Y46" ca="1">IF(X46="","",IF(X46&lt;&gt;X45,1,IF(Y45=misLíneas-2,0,Y45+1)))</f>
        <v>8</v>
      </c>
      <c r="Z46" s="20" t="str" cm="1">
        <f t="array" aca="1" ref="Z46" ca="1">IF(OR(Y46=0,Y46=""),"",INDEX(misCriticidades,X46)&amp;"-"&amp;IFERROR(MATCH(Y46,miOrdenTarjeta,0),0))</f>
        <v>1-8</v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36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27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>
        <f ca="1"/>
        <v>46</v>
      </c>
      <c r="W47" s="20">
        <f t="shared" ca="1" si="14"/>
        <v>5</v>
      </c>
      <c r="X47" s="20">
        <f t="shared" ca="1" si="25"/>
        <v>55</v>
      </c>
      <c r="Y47" s="20" cm="1">
        <f t="array" aca="1" ref="Y47" ca="1">IF(X47="","",IF(X47&lt;&gt;X46,1,IF(Y46=misLíneas-2,0,Y46+1)))</f>
        <v>0</v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35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1-1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>
        <f ca="1"/>
        <v>47</v>
      </c>
      <c r="W48" s="20">
        <f t="shared" ca="1" si="14"/>
        <v>6</v>
      </c>
      <c r="X48" s="20">
        <f t="shared" ca="1" si="25"/>
        <v>54</v>
      </c>
      <c r="Y48" s="20" cm="1">
        <f t="array" aca="1" ref="Y48" ca="1">IF(X48="","",IF(X48&lt;&gt;X47,1,IF(Y47=misLíneas-2,0,Y47+1)))</f>
        <v>1</v>
      </c>
      <c r="Z48" s="20" t="str" cm="1">
        <f t="array" aca="1" ref="Z48" ca="1">IF(OR(Y48=0,Y48=""),"",INDEX(misCriticidades,X48)&amp;"-"&amp;IFERROR(MATCH(Y48,miOrdenTarjeta,0),0))</f>
        <v>3-1</v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35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1-2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>
        <f ca="1"/>
        <v>48</v>
      </c>
      <c r="W49" s="20">
        <f t="shared" ca="1" si="14"/>
        <v>6</v>
      </c>
      <c r="X49" s="20">
        <f t="shared" ca="1" si="25"/>
        <v>54</v>
      </c>
      <c r="Y49" s="20" cm="1">
        <f t="array" aca="1" ref="Y49" ca="1">IF(X49="","",IF(X49&lt;&gt;X48,1,IF(Y48=misLíneas-2,0,Y48+1)))</f>
        <v>2</v>
      </c>
      <c r="Z49" s="20" t="str" cm="1">
        <f t="array" aca="1" ref="Z49" ca="1">IF(OR(Y49=0,Y49=""),"",INDEX(misCriticidades,X49)&amp;"-"&amp;IFERROR(MATCH(Y49,miOrdenTarjeta,0),0))</f>
        <v>3-2</v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35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1-3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>
        <f ca="1"/>
        <v>49</v>
      </c>
      <c r="W50" s="20">
        <f t="shared" ca="1" si="14"/>
        <v>6</v>
      </c>
      <c r="X50" s="20">
        <f t="shared" ca="1" si="25"/>
        <v>54</v>
      </c>
      <c r="Y50" s="20" cm="1">
        <f t="array" aca="1" ref="Y50" ca="1">IF(X50="","",IF(X50&lt;&gt;X49,1,IF(Y49=misLíneas-2,0,Y49+1)))</f>
        <v>3</v>
      </c>
      <c r="Z50" s="20" t="str" cm="1">
        <f t="array" aca="1" ref="Z50" ca="1">IF(OR(Y50=0,Y50=""),"",INDEX(misCriticidades,X50)&amp;"-"&amp;IFERROR(MATCH(Y50,miOrdenTarjeta,0),0))</f>
        <v>3-3</v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35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1-4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>
        <f ca="1"/>
        <v>50</v>
      </c>
      <c r="W51" s="20">
        <f t="shared" ca="1" si="14"/>
        <v>6</v>
      </c>
      <c r="X51" s="20">
        <f t="shared" ca="1" si="25"/>
        <v>54</v>
      </c>
      <c r="Y51" s="20" cm="1">
        <f t="array" aca="1" ref="Y51" ca="1">IF(X51="","",IF(X51&lt;&gt;X50,1,IF(Y50=misLíneas-2,0,Y50+1)))</f>
        <v>4</v>
      </c>
      <c r="Z51" s="20" t="str" cm="1">
        <f t="array" aca="1" ref="Z51" ca="1">IF(OR(Y51=0,Y51=""),"",INDEX(misCriticidades,X51)&amp;"-"&amp;IFERROR(MATCH(Y51,miOrdenTarjeta,0),0))</f>
        <v>3-4</v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35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1-5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>
        <f ca="1"/>
        <v>51</v>
      </c>
      <c r="W52" s="20">
        <f t="shared" ca="1" si="14"/>
        <v>6</v>
      </c>
      <c r="X52" s="20">
        <f t="shared" ca="1" si="25"/>
        <v>54</v>
      </c>
      <c r="Y52" s="20" cm="1">
        <f t="array" aca="1" ref="Y52" ca="1">IF(X52="","",IF(X52&lt;&gt;X51,1,IF(Y51=misLíneas-2,0,Y51+1)))</f>
        <v>5</v>
      </c>
      <c r="Z52" s="20" t="str" cm="1">
        <f t="array" aca="1" ref="Z52" ca="1">IF(OR(Y52=0,Y52=""),"",INDEX(misCriticidades,X52)&amp;"-"&amp;IFERROR(MATCH(Y52,miOrdenTarjeta,0),0))</f>
        <v>3-5</v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35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1-6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>
        <f ca="1"/>
        <v>52</v>
      </c>
      <c r="W53" s="20">
        <f t="shared" ca="1" si="14"/>
        <v>6</v>
      </c>
      <c r="X53" s="20">
        <f t="shared" ca="1" si="25"/>
        <v>54</v>
      </c>
      <c r="Y53" s="20" cm="1">
        <f t="array" aca="1" ref="Y53" ca="1">IF(X53="","",IF(X53&lt;&gt;X52,1,IF(Y52=misLíneas-2,0,Y52+1)))</f>
        <v>6</v>
      </c>
      <c r="Z53" s="20" t="str" cm="1">
        <f t="array" aca="1" ref="Z53" ca="1">IF(OR(Y53=0,Y53=""),"",INDEX(misCriticidades,X53)&amp;"-"&amp;IFERROR(MATCH(Y53,miOrdenTarjeta,0),0))</f>
        <v>3-6</v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35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1-7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>
        <f ca="1"/>
        <v>53</v>
      </c>
      <c r="W54" s="20">
        <f t="shared" ca="1" si="14"/>
        <v>6</v>
      </c>
      <c r="X54" s="20">
        <f t="shared" ca="1" si="25"/>
        <v>54</v>
      </c>
      <c r="Y54" s="20" cm="1">
        <f t="array" aca="1" ref="Y54" ca="1">IF(X54="","",IF(X54&lt;&gt;X53,1,IF(Y53=misLíneas-2,0,Y53+1)))</f>
        <v>7</v>
      </c>
      <c r="Z54" s="20" t="str" cm="1">
        <f t="array" aca="1" ref="Z54" ca="1">IF(OR(Y54=0,Y54=""),"",INDEX(misCriticidades,X54)&amp;"-"&amp;IFERROR(MATCH(Y54,miOrdenTarjeta,0),0))</f>
        <v>3-7</v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35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1-8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>
        <f ca="1"/>
        <v>54</v>
      </c>
      <c r="W55" s="20">
        <f t="shared" ca="1" si="14"/>
        <v>6</v>
      </c>
      <c r="X55" s="20">
        <f t="shared" ca="1" si="25"/>
        <v>54</v>
      </c>
      <c r="Y55" s="20" cm="1">
        <f t="array" aca="1" ref="Y55" ca="1">IF(X55="","",IF(X55&lt;&gt;X54,1,IF(Y54=misLíneas-2,0,Y54+1)))</f>
        <v>8</v>
      </c>
      <c r="Z55" s="20" t="str" cm="1">
        <f t="array" aca="1" ref="Z55" ca="1">IF(OR(Y55=0,Y55=""),"",INDEX(misCriticidades,X55)&amp;"-"&amp;IFERROR(MATCH(Y55,miOrdenTarjeta,0),0))</f>
        <v>3-8</v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35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>
        <f ca="1"/>
        <v>55</v>
      </c>
      <c r="W56" s="20">
        <f t="shared" ca="1" si="14"/>
        <v>6</v>
      </c>
      <c r="X56" s="20">
        <f t="shared" ca="1" si="25"/>
        <v>54</v>
      </c>
      <c r="Y56" s="20" cm="1">
        <f t="array" aca="1" ref="Y56" ca="1">IF(X56="","",IF(X56&lt;&gt;X55,1,IF(Y55=misLíneas-2,0,Y55+1)))</f>
        <v>0</v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34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1-1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25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>
        <f ca="1"/>
        <v>56</v>
      </c>
      <c r="W57" s="20">
        <f t="shared" ca="1" si="14"/>
        <v>7</v>
      </c>
      <c r="X57" s="20">
        <f t="shared" ca="1" si="25"/>
        <v>53</v>
      </c>
      <c r="Y57" s="20" cm="1">
        <f t="array" aca="1" ref="Y57" ca="1">IF(X57="","",IF(X57&lt;&gt;X56,1,IF(Y56=misLíneas-2,0,Y56+1)))</f>
        <v>1</v>
      </c>
      <c r="Z57" s="20" t="str" cm="1">
        <f t="array" aca="1" ref="Z57" ca="1">IF(OR(Y57=0,Y57=""),"",INDEX(misCriticidades,X57)&amp;"-"&amp;IFERROR(MATCH(Y57,miOrdenTarjeta,0),0))</f>
        <v>2-1</v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34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1-2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25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>
        <f ca="1"/>
        <v>57</v>
      </c>
      <c r="W58" s="20">
        <f t="shared" ca="1" si="14"/>
        <v>7</v>
      </c>
      <c r="X58" s="20">
        <f t="shared" ca="1" si="25"/>
        <v>53</v>
      </c>
      <c r="Y58" s="20" cm="1">
        <f t="array" aca="1" ref="Y58" ca="1">IF(X58="","",IF(X58&lt;&gt;X57,1,IF(Y57=misLíneas-2,0,Y57+1)))</f>
        <v>2</v>
      </c>
      <c r="Z58" s="20" t="str" cm="1">
        <f t="array" aca="1" ref="Z58" ca="1">IF(OR(Y58=0,Y58=""),"",INDEX(misCriticidades,X58)&amp;"-"&amp;IFERROR(MATCH(Y58,miOrdenTarjeta,0),0))</f>
        <v>2-2</v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34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1-3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25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>
        <f ca="1"/>
        <v>58</v>
      </c>
      <c r="W59" s="20">
        <f t="shared" ca="1" si="14"/>
        <v>7</v>
      </c>
      <c r="X59" s="20">
        <f t="shared" ca="1" si="25"/>
        <v>53</v>
      </c>
      <c r="Y59" s="20" cm="1">
        <f t="array" aca="1" ref="Y59" ca="1">IF(X59="","",IF(X59&lt;&gt;X58,1,IF(Y58=misLíneas-2,0,Y58+1)))</f>
        <v>3</v>
      </c>
      <c r="Z59" s="20" t="str" cm="1">
        <f t="array" aca="1" ref="Z59" ca="1">IF(OR(Y59=0,Y59=""),"",INDEX(misCriticidades,X59)&amp;"-"&amp;IFERROR(MATCH(Y59,miOrdenTarjeta,0),0))</f>
        <v>2-3</v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34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1-4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25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>
        <f ca="1"/>
        <v>59</v>
      </c>
      <c r="W60" s="20">
        <f t="shared" ca="1" si="14"/>
        <v>7</v>
      </c>
      <c r="X60" s="20">
        <f t="shared" ca="1" si="25"/>
        <v>53</v>
      </c>
      <c r="Y60" s="20" cm="1">
        <f t="array" aca="1" ref="Y60" ca="1">IF(X60="","",IF(X60&lt;&gt;X59,1,IF(Y59=misLíneas-2,0,Y59+1)))</f>
        <v>4</v>
      </c>
      <c r="Z60" s="20" t="str" cm="1">
        <f t="array" aca="1" ref="Z60" ca="1">IF(OR(Y60=0,Y60=""),"",INDEX(misCriticidades,X60)&amp;"-"&amp;IFERROR(MATCH(Y60,miOrdenTarjeta,0),0))</f>
        <v>2-4</v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34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1-5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25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7</v>
      </c>
      <c r="X61" s="20">
        <f t="shared" ca="1" si="25"/>
        <v>53</v>
      </c>
      <c r="Y61" s="20" cm="1">
        <f t="array" aca="1" ref="Y61" ca="1">IF(X61="","",IF(X61&lt;&gt;X60,1,IF(Y60=misLíneas-2,0,Y60+1)))</f>
        <v>5</v>
      </c>
      <c r="Z61" s="20" t="str" cm="1">
        <f t="array" aca="1" ref="Z61" ca="1">IF(OR(Y61=0,Y61=""),"",INDEX(misCriticidades,X61)&amp;"-"&amp;IFERROR(MATCH(Y61,miOrdenTarjeta,0),0))</f>
        <v>2-5</v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34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1-6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25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7</v>
      </c>
      <c r="X62" s="20">
        <f t="shared" ca="1" si="25"/>
        <v>53</v>
      </c>
      <c r="Y62" s="20" cm="1">
        <f t="array" aca="1" ref="Y62" ca="1">IF(X62="","",IF(X62&lt;&gt;X61,1,IF(Y61=misLíneas-2,0,Y61+1)))</f>
        <v>6</v>
      </c>
      <c r="Z62" s="20" t="str" cm="1">
        <f t="array" aca="1" ref="Z62" ca="1">IF(OR(Y62=0,Y62=""),"",INDEX(misCriticidades,X62)&amp;"-"&amp;IFERROR(MATCH(Y62,miOrdenTarjeta,0),0))</f>
        <v>2-6</v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34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1-7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25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7</v>
      </c>
      <c r="X63" s="20">
        <f t="shared" ca="1" si="25"/>
        <v>53</v>
      </c>
      <c r="Y63" s="20" cm="1">
        <f t="array" aca="1" ref="Y63" ca="1">IF(X63="","",IF(X63&lt;&gt;X62,1,IF(Y62=misLíneas-2,0,Y62+1)))</f>
        <v>7</v>
      </c>
      <c r="Z63" s="20" t="str" cm="1">
        <f t="array" aca="1" ref="Z63" ca="1">IF(OR(Y63=0,Y63=""),"",INDEX(misCriticidades,X63)&amp;"-"&amp;IFERROR(MATCH(Y63,miOrdenTarjeta,0),0))</f>
        <v>2-7</v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34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1-8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25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7</v>
      </c>
      <c r="X64" s="20">
        <f t="shared" ca="1" si="25"/>
        <v>53</v>
      </c>
      <c r="Y64" s="20" cm="1">
        <f t="array" aca="1" ref="Y64" ca="1">IF(X64="","",IF(X64&lt;&gt;X63,1,IF(Y63=misLíneas-2,0,Y63+1)))</f>
        <v>8</v>
      </c>
      <c r="Z64" s="20" t="str" cm="1">
        <f t="array" aca="1" ref="Z64" ca="1">IF(OR(Y64=0,Y64=""),"",INDEX(misCriticidades,X64)&amp;"-"&amp;IFERROR(MATCH(Y64,miOrdenTarjeta,0),0))</f>
        <v>2-8</v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34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25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7</v>
      </c>
      <c r="X65" s="20">
        <f t="shared" ca="1" si="25"/>
        <v>53</v>
      </c>
      <c r="Y65" s="20" cm="1">
        <f t="array" aca="1" ref="Y65" ca="1">IF(X65="","",IF(X65&lt;&gt;X64,1,IF(Y64=misLíneas-2,0,Y64+1)))</f>
        <v>0</v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33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1-1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24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8</v>
      </c>
      <c r="X66" s="20">
        <f t="shared" ca="1" si="25"/>
        <v>52</v>
      </c>
      <c r="Y66" s="20" cm="1">
        <f t="array" aca="1" ref="Y66" ca="1">IF(X66="","",IF(X66&lt;&gt;X65,1,IF(Y65=misLíneas-2,0,Y65+1)))</f>
        <v>1</v>
      </c>
      <c r="Z66" s="20" t="str" cm="1">
        <f t="array" aca="1" ref="Z66" ca="1">IF(OR(Y66=0,Y66=""),"",INDEX(misCriticidades,X66)&amp;"-"&amp;IFERROR(MATCH(Y66,miOrdenTarjeta,0),0))</f>
        <v>2-1</v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33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1-2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24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8</v>
      </c>
      <c r="X67" s="20">
        <f t="shared" ref="X67:X98" ca="1" si="30">IF(W67&gt;W66,IFERROR(IF(Z$1="v",SMALL(V$2:V$101,W67),LARGE(V$2:V$101,W67)),""),X66)</f>
        <v>52</v>
      </c>
      <c r="Y67" s="20" cm="1">
        <f t="array" aca="1" ref="Y67" ca="1">IF(X67="","",IF(X67&lt;&gt;X66,1,IF(Y66=misLíneas-2,0,Y66+1)))</f>
        <v>2</v>
      </c>
      <c r="Z67" s="20" t="str" cm="1">
        <f t="array" aca="1" ref="Z67" ca="1">IF(OR(Y67=0,Y67=""),"",INDEX(misCriticidades,X67)&amp;"-"&amp;IFERROR(MATCH(Y67,miOrdenTarjeta,0),0))</f>
        <v>2-2</v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33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1-3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24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8</v>
      </c>
      <c r="X68" s="20">
        <f t="shared" ca="1" si="30"/>
        <v>52</v>
      </c>
      <c r="Y68" s="20" cm="1">
        <f t="array" aca="1" ref="Y68" ca="1">IF(X68="","",IF(X68&lt;&gt;X67,1,IF(Y67=misLíneas-2,0,Y67+1)))</f>
        <v>3</v>
      </c>
      <c r="Z68" s="20" t="str" cm="1">
        <f t="array" aca="1" ref="Z68" ca="1">IF(OR(Y68=0,Y68=""),"",INDEX(misCriticidades,X68)&amp;"-"&amp;IFERROR(MATCH(Y68,miOrdenTarjeta,0),0))</f>
        <v>2-3</v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33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1-4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24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8</v>
      </c>
      <c r="X69" s="20">
        <f t="shared" ca="1" si="30"/>
        <v>52</v>
      </c>
      <c r="Y69" s="20" cm="1">
        <f t="array" aca="1" ref="Y69" ca="1">IF(X69="","",IF(X69&lt;&gt;X68,1,IF(Y68=misLíneas-2,0,Y68+1)))</f>
        <v>4</v>
      </c>
      <c r="Z69" s="20" t="str" cm="1">
        <f t="array" aca="1" ref="Z69" ca="1">IF(OR(Y69=0,Y69=""),"",INDEX(misCriticidades,X69)&amp;"-"&amp;IFERROR(MATCH(Y69,miOrdenTarjeta,0),0))</f>
        <v>2-4</v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33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1-5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24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8</v>
      </c>
      <c r="X70" s="20">
        <f t="shared" ca="1" si="30"/>
        <v>52</v>
      </c>
      <c r="Y70" s="20" cm="1">
        <f t="array" aca="1" ref="Y70" ca="1">IF(X70="","",IF(X70&lt;&gt;X69,1,IF(Y69=misLíneas-2,0,Y69+1)))</f>
        <v>5</v>
      </c>
      <c r="Z70" s="20" t="str" cm="1">
        <f t="array" aca="1" ref="Z70" ca="1">IF(OR(Y70=0,Y70=""),"",INDEX(misCriticidades,X70)&amp;"-"&amp;IFERROR(MATCH(Y70,miOrdenTarjeta,0),0))</f>
        <v>2-5</v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33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1-6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24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8</v>
      </c>
      <c r="X71" s="20">
        <f t="shared" ca="1" si="30"/>
        <v>52</v>
      </c>
      <c r="Y71" s="20" cm="1">
        <f t="array" aca="1" ref="Y71" ca="1">IF(X71="","",IF(X71&lt;&gt;X70,1,IF(Y70=misLíneas-2,0,Y70+1)))</f>
        <v>6</v>
      </c>
      <c r="Z71" s="20" t="str" cm="1">
        <f t="array" aca="1" ref="Z71" ca="1">IF(OR(Y71=0,Y71=""),"",INDEX(misCriticidades,X71)&amp;"-"&amp;IFERROR(MATCH(Y71,miOrdenTarjeta,0),0))</f>
        <v>2-6</v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33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1-7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24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8</v>
      </c>
      <c r="X72" s="20">
        <f t="shared" ca="1" si="30"/>
        <v>52</v>
      </c>
      <c r="Y72" s="20" cm="1">
        <f t="array" aca="1" ref="Y72" ca="1">IF(X72="","",IF(X72&lt;&gt;X71,1,IF(Y71=misLíneas-2,0,Y71+1)))</f>
        <v>7</v>
      </c>
      <c r="Z72" s="20" t="str" cm="1">
        <f t="array" aca="1" ref="Z72" ca="1">IF(OR(Y72=0,Y72=""),"",INDEX(misCriticidades,X72)&amp;"-"&amp;IFERROR(MATCH(Y72,miOrdenTarjeta,0),0))</f>
        <v>2-7</v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33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1-8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24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8</v>
      </c>
      <c r="X73" s="20">
        <f t="shared" ca="1" si="30"/>
        <v>52</v>
      </c>
      <c r="Y73" s="20" cm="1">
        <f t="array" aca="1" ref="Y73" ca="1">IF(X73="","",IF(X73&lt;&gt;X72,1,IF(Y72=misLíneas-2,0,Y72+1)))</f>
        <v>8</v>
      </c>
      <c r="Z73" s="20" t="str" cm="1">
        <f t="array" aca="1" ref="Z73" ca="1">IF(OR(Y73=0,Y73=""),"",INDEX(misCriticidades,X73)&amp;"-"&amp;IFERROR(MATCH(Y73,miOrdenTarjeta,0),0))</f>
        <v>2-8</v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33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24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8</v>
      </c>
      <c r="X74" s="20">
        <f t="shared" ca="1" si="30"/>
        <v>52</v>
      </c>
      <c r="Y74" s="20" cm="1">
        <f t="array" aca="1" ref="Y74" ca="1">IF(X74="","",IF(X74&lt;&gt;X73,1,IF(Y73=misLíneas-2,0,Y73+1)))</f>
        <v>0</v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32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1-1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23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9</v>
      </c>
      <c r="X75" s="20">
        <f t="shared" ca="1" si="30"/>
        <v>51</v>
      </c>
      <c r="Y75" s="20" cm="1">
        <f t="array" aca="1" ref="Y75" ca="1">IF(X75="","",IF(X75&lt;&gt;X74,1,IF(Y74=misLíneas-2,0,Y74+1)))</f>
        <v>1</v>
      </c>
      <c r="Z75" s="20" t="str" cm="1">
        <f t="array" aca="1" ref="Z75" ca="1">IF(OR(Y75=0,Y75=""),"",INDEX(misCriticidades,X75)&amp;"-"&amp;IFERROR(MATCH(Y75,miOrdenTarjeta,0),0))</f>
        <v>3-1</v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32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1-2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23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9</v>
      </c>
      <c r="X76" s="20">
        <f t="shared" ca="1" si="30"/>
        <v>51</v>
      </c>
      <c r="Y76" s="20" cm="1">
        <f t="array" aca="1" ref="Y76" ca="1">IF(X76="","",IF(X76&lt;&gt;X75,1,IF(Y75=misLíneas-2,0,Y75+1)))</f>
        <v>2</v>
      </c>
      <c r="Z76" s="20" t="str" cm="1">
        <f t="array" aca="1" ref="Z76" ca="1">IF(OR(Y76=0,Y76=""),"",INDEX(misCriticidades,X76)&amp;"-"&amp;IFERROR(MATCH(Y76,miOrdenTarjeta,0),0))</f>
        <v>3-2</v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32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1-3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23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9</v>
      </c>
      <c r="X77" s="20">
        <f t="shared" ca="1" si="30"/>
        <v>51</v>
      </c>
      <c r="Y77" s="20" cm="1">
        <f t="array" aca="1" ref="Y77" ca="1">IF(X77="","",IF(X77&lt;&gt;X76,1,IF(Y76=misLíneas-2,0,Y76+1)))</f>
        <v>3</v>
      </c>
      <c r="Z77" s="20" t="str" cm="1">
        <f t="array" aca="1" ref="Z77" ca="1">IF(OR(Y77=0,Y77=""),"",INDEX(misCriticidades,X77)&amp;"-"&amp;IFERROR(MATCH(Y77,miOrdenTarjeta,0),0))</f>
        <v>3-3</v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32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1-4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23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9</v>
      </c>
      <c r="X78" s="20">
        <f t="shared" ca="1" si="30"/>
        <v>51</v>
      </c>
      <c r="Y78" s="20" cm="1">
        <f t="array" aca="1" ref="Y78" ca="1">IF(X78="","",IF(X78&lt;&gt;X77,1,IF(Y77=misLíneas-2,0,Y77+1)))</f>
        <v>4</v>
      </c>
      <c r="Z78" s="20" t="str" cm="1">
        <f t="array" aca="1" ref="Z78" ca="1">IF(OR(Y78=0,Y78=""),"",INDEX(misCriticidades,X78)&amp;"-"&amp;IFERROR(MATCH(Y78,miOrdenTarjeta,0),0))</f>
        <v>3-4</v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32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1-5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23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9</v>
      </c>
      <c r="X79" s="20">
        <f t="shared" ca="1" si="30"/>
        <v>51</v>
      </c>
      <c r="Y79" s="20" cm="1">
        <f t="array" aca="1" ref="Y79" ca="1">IF(X79="","",IF(X79&lt;&gt;X78,1,IF(Y78=misLíneas-2,0,Y78+1)))</f>
        <v>5</v>
      </c>
      <c r="Z79" s="20" t="str" cm="1">
        <f t="array" aca="1" ref="Z79" ca="1">IF(OR(Y79=0,Y79=""),"",INDEX(misCriticidades,X79)&amp;"-"&amp;IFERROR(MATCH(Y79,miOrdenTarjeta,0),0))</f>
        <v>3-5</v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32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1-6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23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9</v>
      </c>
      <c r="X80" s="20">
        <f t="shared" ca="1" si="30"/>
        <v>51</v>
      </c>
      <c r="Y80" s="20" cm="1">
        <f t="array" aca="1" ref="Y80" ca="1">IF(X80="","",IF(X80&lt;&gt;X79,1,IF(Y79=misLíneas-2,0,Y79+1)))</f>
        <v>6</v>
      </c>
      <c r="Z80" s="20" t="str" cm="1">
        <f t="array" aca="1" ref="Z80" ca="1">IF(OR(Y80=0,Y80=""),"",INDEX(misCriticidades,X80)&amp;"-"&amp;IFERROR(MATCH(Y80,miOrdenTarjeta,0),0))</f>
        <v>3-6</v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32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1-7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23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9</v>
      </c>
      <c r="X81" s="20">
        <f t="shared" ca="1" si="30"/>
        <v>51</v>
      </c>
      <c r="Y81" s="20" cm="1">
        <f t="array" aca="1" ref="Y81" ca="1">IF(X81="","",IF(X81&lt;&gt;X80,1,IF(Y80=misLíneas-2,0,Y80+1)))</f>
        <v>7</v>
      </c>
      <c r="Z81" s="20" t="str" cm="1">
        <f t="array" aca="1" ref="Z81" ca="1">IF(OR(Y81=0,Y81=""),"",INDEX(misCriticidades,X81)&amp;"-"&amp;IFERROR(MATCH(Y81,miOrdenTarjeta,0),0))</f>
        <v>3-7</v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32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1-8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23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9</v>
      </c>
      <c r="X82" s="20">
        <f t="shared" ca="1" si="30"/>
        <v>51</v>
      </c>
      <c r="Y82" s="20" cm="1">
        <f t="array" aca="1" ref="Y82" ca="1">IF(X82="","",IF(X82&lt;&gt;X81,1,IF(Y81=misLíneas-2,0,Y81+1)))</f>
        <v>8</v>
      </c>
      <c r="Z82" s="20" t="str" cm="1">
        <f t="array" aca="1" ref="Z82" ca="1">IF(OR(Y82=0,Y82=""),"",INDEX(misCriticidades,X82)&amp;"-"&amp;IFERROR(MATCH(Y82,miOrdenTarjeta,0),0))</f>
        <v>3-8</v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32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23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9</v>
      </c>
      <c r="X83" s="20">
        <f t="shared" ca="1" si="30"/>
        <v>51</v>
      </c>
      <c r="Y83" s="20" cm="1">
        <f t="array" aca="1" ref="Y83" ca="1">IF(X83="","",IF(X83&lt;&gt;X82,1,IF(Y82=misLíneas-2,0,Y82+1)))</f>
        <v>0</v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31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1-1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22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10</v>
      </c>
      <c r="X84" s="20">
        <f t="shared" ca="1" si="30"/>
        <v>50</v>
      </c>
      <c r="Y84" s="20" cm="1">
        <f t="array" aca="1" ref="Y84" ca="1">IF(X84="","",IF(X84&lt;&gt;X83,1,IF(Y83=misLíneas-2,0,Y83+1)))</f>
        <v>1</v>
      </c>
      <c r="Z84" s="20" t="str" cm="1">
        <f t="array" aca="1" ref="Z84" ca="1">IF(OR(Y84=0,Y84=""),"",INDEX(misCriticidades,X84)&amp;"-"&amp;IFERROR(MATCH(Y84,miOrdenTarjeta,0),0))</f>
        <v>2-1</v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31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1-2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22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10</v>
      </c>
      <c r="X85" s="20">
        <f t="shared" ca="1" si="30"/>
        <v>50</v>
      </c>
      <c r="Y85" s="20" cm="1">
        <f t="array" aca="1" ref="Y85" ca="1">IF(X85="","",IF(X85&lt;&gt;X84,1,IF(Y84=misLíneas-2,0,Y84+1)))</f>
        <v>2</v>
      </c>
      <c r="Z85" s="20" t="str" cm="1">
        <f t="array" aca="1" ref="Z85" ca="1">IF(OR(Y85=0,Y85=""),"",INDEX(misCriticidades,X85)&amp;"-"&amp;IFERROR(MATCH(Y85,miOrdenTarjeta,0),0))</f>
        <v>2-2</v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31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1-3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22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10</v>
      </c>
      <c r="X86" s="20">
        <f t="shared" ca="1" si="30"/>
        <v>50</v>
      </c>
      <c r="Y86" s="20" cm="1">
        <f t="array" aca="1" ref="Y86" ca="1">IF(X86="","",IF(X86&lt;&gt;X85,1,IF(Y85=misLíneas-2,0,Y85+1)))</f>
        <v>3</v>
      </c>
      <c r="Z86" s="20" t="str" cm="1">
        <f t="array" aca="1" ref="Z86" ca="1">IF(OR(Y86=0,Y86=""),"",INDEX(misCriticidades,X86)&amp;"-"&amp;IFERROR(MATCH(Y86,miOrdenTarjeta,0),0))</f>
        <v>2-3</v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31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1-4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22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10</v>
      </c>
      <c r="X87" s="20">
        <f t="shared" ca="1" si="30"/>
        <v>50</v>
      </c>
      <c r="Y87" s="20" cm="1">
        <f t="array" aca="1" ref="Y87" ca="1">IF(X87="","",IF(X87&lt;&gt;X86,1,IF(Y86=misLíneas-2,0,Y86+1)))</f>
        <v>4</v>
      </c>
      <c r="Z87" s="20" t="str" cm="1">
        <f t="array" aca="1" ref="Z87" ca="1">IF(OR(Y87=0,Y87=""),"",INDEX(misCriticidades,X87)&amp;"-"&amp;IFERROR(MATCH(Y87,miOrdenTarjeta,0),0))</f>
        <v>2-4</v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31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1-5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22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10</v>
      </c>
      <c r="X88" s="20">
        <f t="shared" ca="1" si="30"/>
        <v>50</v>
      </c>
      <c r="Y88" s="20" cm="1">
        <f t="array" aca="1" ref="Y88" ca="1">IF(X88="","",IF(X88&lt;&gt;X87,1,IF(Y87=misLíneas-2,0,Y87+1)))</f>
        <v>5</v>
      </c>
      <c r="Z88" s="20" t="str" cm="1">
        <f t="array" aca="1" ref="Z88" ca="1">IF(OR(Y88=0,Y88=""),"",INDEX(misCriticidades,X88)&amp;"-"&amp;IFERROR(MATCH(Y88,miOrdenTarjeta,0),0))</f>
        <v>2-5</v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31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1-6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22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10</v>
      </c>
      <c r="X89" s="20">
        <f t="shared" ca="1" si="30"/>
        <v>50</v>
      </c>
      <c r="Y89" s="20" cm="1">
        <f t="array" aca="1" ref="Y89" ca="1">IF(X89="","",IF(X89&lt;&gt;X88,1,IF(Y88=misLíneas-2,0,Y88+1)))</f>
        <v>6</v>
      </c>
      <c r="Z89" s="20" t="str" cm="1">
        <f t="array" aca="1" ref="Z89" ca="1">IF(OR(Y89=0,Y89=""),"",INDEX(misCriticidades,X89)&amp;"-"&amp;IFERROR(MATCH(Y89,miOrdenTarjeta,0),0))</f>
        <v>2-6</v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31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1-7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22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10</v>
      </c>
      <c r="X90" s="20">
        <f t="shared" ca="1" si="30"/>
        <v>50</v>
      </c>
      <c r="Y90" s="20" cm="1">
        <f t="array" aca="1" ref="Y90" ca="1">IF(X90="","",IF(X90&lt;&gt;X89,1,IF(Y89=misLíneas-2,0,Y89+1)))</f>
        <v>7</v>
      </c>
      <c r="Z90" s="20" t="str" cm="1">
        <f t="array" aca="1" ref="Z90" ca="1">IF(OR(Y90=0,Y90=""),"",INDEX(misCriticidades,X90)&amp;"-"&amp;IFERROR(MATCH(Y90,miOrdenTarjeta,0),0))</f>
        <v>2-7</v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31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1-8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22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10</v>
      </c>
      <c r="X91" s="20">
        <f t="shared" ca="1" si="30"/>
        <v>50</v>
      </c>
      <c r="Y91" s="20" cm="1">
        <f t="array" aca="1" ref="Y91" ca="1">IF(X91="","",IF(X91&lt;&gt;X90,1,IF(Y90=misLíneas-2,0,Y90+1)))</f>
        <v>8</v>
      </c>
      <c r="Z91" s="20" t="str" cm="1">
        <f t="array" aca="1" ref="Z91" ca="1">IF(OR(Y91=0,Y91=""),"",INDEX(misCriticidades,X91)&amp;"-"&amp;IFERROR(MATCH(Y91,miOrdenTarjeta,0),0))</f>
        <v>2-8</v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31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22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10</v>
      </c>
      <c r="X92" s="20">
        <f t="shared" ca="1" si="30"/>
        <v>50</v>
      </c>
      <c r="Y92" s="20" cm="1">
        <f t="array" aca="1" ref="Y92" ca="1">IF(X92="","",IF(X92&lt;&gt;X91,1,IF(Y91=misLíneas-2,0,Y91+1)))</f>
        <v>0</v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11</v>
      </c>
      <c r="X93" s="20">
        <f t="shared" ca="1" si="30"/>
        <v>49</v>
      </c>
      <c r="Y93" s="20" cm="1">
        <f t="array" aca="1" ref="Y93" ca="1">IF(X93="","",IF(X93&lt;&gt;X92,1,IF(Y92=misLíneas-2,0,Y92+1)))</f>
        <v>1</v>
      </c>
      <c r="Z93" s="20" t="str" cm="1">
        <f t="array" aca="1" ref="Z93" ca="1">IF(OR(Y93=0,Y93=""),"",INDEX(misCriticidades,X93)&amp;"-"&amp;IFERROR(MATCH(Y93,miOrdenTarjeta,0),0))</f>
        <v>3-1</v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11</v>
      </c>
      <c r="X94" s="20">
        <f t="shared" ca="1" si="30"/>
        <v>49</v>
      </c>
      <c r="Y94" s="20" cm="1">
        <f t="array" aca="1" ref="Y94" ca="1">IF(X94="","",IF(X94&lt;&gt;X93,1,IF(Y93=misLíneas-2,0,Y93+1)))</f>
        <v>2</v>
      </c>
      <c r="Z94" s="20" t="str" cm="1">
        <f t="array" aca="1" ref="Z94" ca="1">IF(OR(Y94=0,Y94=""),"",INDEX(misCriticidades,X94)&amp;"-"&amp;IFERROR(MATCH(Y94,miOrdenTarjeta,0),0))</f>
        <v>3-2</v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11</v>
      </c>
      <c r="X95" s="20">
        <f t="shared" ca="1" si="30"/>
        <v>49</v>
      </c>
      <c r="Y95" s="20" cm="1">
        <f t="array" aca="1" ref="Y95" ca="1">IF(X95="","",IF(X95&lt;&gt;X94,1,IF(Y94=misLíneas-2,0,Y94+1)))</f>
        <v>3</v>
      </c>
      <c r="Z95" s="20" t="str" cm="1">
        <f t="array" aca="1" ref="Z95" ca="1">IF(OR(Y95=0,Y95=""),"",INDEX(misCriticidades,X95)&amp;"-"&amp;IFERROR(MATCH(Y95,miOrdenTarjeta,0),0))</f>
        <v>3-3</v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11</v>
      </c>
      <c r="X96" s="20">
        <f t="shared" ca="1" si="30"/>
        <v>49</v>
      </c>
      <c r="Y96" s="20" cm="1">
        <f t="array" aca="1" ref="Y96" ca="1">IF(X96="","",IF(X96&lt;&gt;X95,1,IF(Y95=misLíneas-2,0,Y95+1)))</f>
        <v>4</v>
      </c>
      <c r="Z96" s="20" t="str" cm="1">
        <f t="array" aca="1" ref="Z96" ca="1">IF(OR(Y96=0,Y96=""),"",INDEX(misCriticidades,X96)&amp;"-"&amp;IFERROR(MATCH(Y96,miOrdenTarjeta,0),0))</f>
        <v>3-4</v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11</v>
      </c>
      <c r="X97" s="20">
        <f t="shared" ca="1" si="30"/>
        <v>49</v>
      </c>
      <c r="Y97" s="20" cm="1">
        <f t="array" aca="1" ref="Y97" ca="1">IF(X97="","",IF(X97&lt;&gt;X96,1,IF(Y96=misLíneas-2,0,Y96+1)))</f>
        <v>5</v>
      </c>
      <c r="Z97" s="20" t="str" cm="1">
        <f t="array" aca="1" ref="Z97" ca="1">IF(OR(Y97=0,Y97=""),"",INDEX(misCriticidades,X97)&amp;"-"&amp;IFERROR(MATCH(Y97,miOrdenTarjeta,0),0))</f>
        <v>3-5</v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11</v>
      </c>
      <c r="X98" s="20">
        <f t="shared" ca="1" si="30"/>
        <v>49</v>
      </c>
      <c r="Y98" s="20" cm="1">
        <f t="array" aca="1" ref="Y98" ca="1">IF(X98="","",IF(X98&lt;&gt;X97,1,IF(Y97=misLíneas-2,0,Y97+1)))</f>
        <v>6</v>
      </c>
      <c r="Z98" s="20" t="str" cm="1">
        <f t="array" aca="1" ref="Z98" ca="1">IF(OR(Y98=0,Y98=""),"",INDEX(misCriticidades,X98)&amp;"-"&amp;IFERROR(MATCH(Y98,miOrdenTarjeta,0),0))</f>
        <v>3-6</v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11</v>
      </c>
      <c r="X99" s="20">
        <f t="shared" ref="X99:X130" ca="1" si="50">IF(W99&gt;W98,IFERROR(IF(Z$1="v",SMALL(V$2:V$101,W99),LARGE(V$2:V$101,W99)),""),X98)</f>
        <v>49</v>
      </c>
      <c r="Y99" s="20" cm="1">
        <f t="array" aca="1" ref="Y99" ca="1">IF(X99="","",IF(X99&lt;&gt;X98,1,IF(Y98=misLíneas-2,0,Y98+1)))</f>
        <v>7</v>
      </c>
      <c r="Z99" s="20" t="str" cm="1">
        <f t="array" aca="1" ref="Z99" ca="1">IF(OR(Y99=0,Y99=""),"",INDEX(misCriticidades,X99)&amp;"-"&amp;IFERROR(MATCH(Y99,miOrdenTarjeta,0),0))</f>
        <v>3-7</v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11</v>
      </c>
      <c r="X100" s="20">
        <f t="shared" ca="1" si="50"/>
        <v>49</v>
      </c>
      <c r="Y100" s="20" cm="1">
        <f t="array" aca="1" ref="Y100" ca="1">IF(X100="","",IF(X100&lt;&gt;X99,1,IF(Y99=misLíneas-2,0,Y99+1)))</f>
        <v>8</v>
      </c>
      <c r="Z100" s="20" t="str" cm="1">
        <f t="array" aca="1" ref="Z100" ca="1">IF(OR(Y100=0,Y100=""),"",INDEX(misCriticidades,X100)&amp;"-"&amp;IFERROR(MATCH(Y100,miOrdenTarjeta,0),0))</f>
        <v>3-8</v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11</v>
      </c>
      <c r="X101" s="20">
        <f t="shared" ca="1" si="50"/>
        <v>49</v>
      </c>
      <c r="Y101" s="20" cm="1">
        <f t="array" aca="1" ref="Y101" ca="1">IF(X101="","",IF(X101&lt;&gt;X100,1,IF(Y100=misLíneas-2,0,Y100+1)))</f>
        <v>0</v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20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12</v>
      </c>
      <c r="X102" s="20">
        <f t="shared" ca="1" si="50"/>
        <v>48</v>
      </c>
      <c r="Y102" s="20" cm="1">
        <f t="array" aca="1" ref="Y102" ca="1">IF(X102="","",IF(X102&lt;&gt;X101,1,IF(Y101=misLíneas-2,0,Y101+1)))</f>
        <v>1</v>
      </c>
      <c r="Z102" s="20" t="str" cm="1">
        <f t="array" aca="1" ref="Z102" ca="1">IF(OR(Y102=0,Y102=""),"",INDEX(misCriticidades,X102)&amp;"-"&amp;IFERROR(MATCH(Y102,miOrdenTarjeta,0),0))</f>
        <v>1-1</v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20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12</v>
      </c>
      <c r="X103" s="20">
        <f t="shared" ca="1" si="50"/>
        <v>48</v>
      </c>
      <c r="Y103" s="20" cm="1">
        <f t="array" aca="1" ref="Y103" ca="1">IF(X103="","",IF(X103&lt;&gt;X102,1,IF(Y102=misLíneas-2,0,Y102+1)))</f>
        <v>2</v>
      </c>
      <c r="Z103" s="20" t="str" cm="1">
        <f t="array" aca="1" ref="Z103" ca="1">IF(OR(Y103=0,Y103=""),"",INDEX(misCriticidades,X103)&amp;"-"&amp;IFERROR(MATCH(Y103,miOrdenTarjeta,0),0))</f>
        <v>1-2</v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20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12</v>
      </c>
      <c r="X104" s="20">
        <f t="shared" ca="1" si="50"/>
        <v>48</v>
      </c>
      <c r="Y104" s="20" cm="1">
        <f t="array" aca="1" ref="Y104" ca="1">IF(X104="","",IF(X104&lt;&gt;X103,1,IF(Y103=misLíneas-2,0,Y103+1)))</f>
        <v>3</v>
      </c>
      <c r="Z104" s="20" t="str" cm="1">
        <f t="array" aca="1" ref="Z104" ca="1">IF(OR(Y104=0,Y104=""),"",INDEX(misCriticidades,X104)&amp;"-"&amp;IFERROR(MATCH(Y104,miOrdenTarjeta,0),0))</f>
        <v>1-3</v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20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12</v>
      </c>
      <c r="X105" s="20">
        <f t="shared" ca="1" si="50"/>
        <v>48</v>
      </c>
      <c r="Y105" s="20" cm="1">
        <f t="array" aca="1" ref="Y105" ca="1">IF(X105="","",IF(X105&lt;&gt;X104,1,IF(Y104=misLíneas-2,0,Y104+1)))</f>
        <v>4</v>
      </c>
      <c r="Z105" s="20" t="str" cm="1">
        <f t="array" aca="1" ref="Z105" ca="1">IF(OR(Y105=0,Y105=""),"",INDEX(misCriticidades,X105)&amp;"-"&amp;IFERROR(MATCH(Y105,miOrdenTarjeta,0),0))</f>
        <v>1-4</v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20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12</v>
      </c>
      <c r="X106" s="20">
        <f t="shared" ca="1" si="50"/>
        <v>48</v>
      </c>
      <c r="Y106" s="20" cm="1">
        <f t="array" aca="1" ref="Y106" ca="1">IF(X106="","",IF(X106&lt;&gt;X105,1,IF(Y105=misLíneas-2,0,Y105+1)))</f>
        <v>5</v>
      </c>
      <c r="Z106" s="20" t="str" cm="1">
        <f t="array" aca="1" ref="Z106" ca="1">IF(OR(Y106=0,Y106=""),"",INDEX(misCriticidades,X106)&amp;"-"&amp;IFERROR(MATCH(Y106,miOrdenTarjeta,0),0))</f>
        <v>1-5</v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20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12</v>
      </c>
      <c r="X107" s="20">
        <f t="shared" ca="1" si="50"/>
        <v>48</v>
      </c>
      <c r="Y107" s="20" cm="1">
        <f t="array" aca="1" ref="Y107" ca="1">IF(X107="","",IF(X107&lt;&gt;X106,1,IF(Y106=misLíneas-2,0,Y106+1)))</f>
        <v>6</v>
      </c>
      <c r="Z107" s="20" t="str" cm="1">
        <f t="array" aca="1" ref="Z107" ca="1">IF(OR(Y107=0,Y107=""),"",INDEX(misCriticidades,X107)&amp;"-"&amp;IFERROR(MATCH(Y107,miOrdenTarjeta,0),0))</f>
        <v>1-6</v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20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12</v>
      </c>
      <c r="X108" s="20">
        <f t="shared" ca="1" si="50"/>
        <v>48</v>
      </c>
      <c r="Y108" s="20" cm="1">
        <f t="array" aca="1" ref="Y108" ca="1">IF(X108="","",IF(X108&lt;&gt;X107,1,IF(Y107=misLíneas-2,0,Y107+1)))</f>
        <v>7</v>
      </c>
      <c r="Z108" s="20" t="str" cm="1">
        <f t="array" aca="1" ref="Z108" ca="1">IF(OR(Y108=0,Y108=""),"",INDEX(misCriticidades,X108)&amp;"-"&amp;IFERROR(MATCH(Y108,miOrdenTarjeta,0),0))</f>
        <v>1-7</v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20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12</v>
      </c>
      <c r="X109" s="20">
        <f t="shared" ca="1" si="50"/>
        <v>48</v>
      </c>
      <c r="Y109" s="20" cm="1">
        <f t="array" aca="1" ref="Y109" ca="1">IF(X109="","",IF(X109&lt;&gt;X108,1,IF(Y108=misLíneas-2,0,Y108+1)))</f>
        <v>8</v>
      </c>
      <c r="Z109" s="20" t="str" cm="1">
        <f t="array" aca="1" ref="Z109" ca="1">IF(OR(Y109=0,Y109=""),"",INDEX(misCriticidades,X109)&amp;"-"&amp;IFERROR(MATCH(Y109,miOrdenTarjeta,0),0))</f>
        <v>1-8</v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20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12</v>
      </c>
      <c r="X110" s="20">
        <f t="shared" ca="1" si="50"/>
        <v>48</v>
      </c>
      <c r="Y110" s="20" cm="1">
        <f t="array" aca="1" ref="Y110" ca="1">IF(X110="","",IF(X110&lt;&gt;X109,1,IF(Y109=misLíneas-2,0,Y109+1)))</f>
        <v>0</v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19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13</v>
      </c>
      <c r="X111" s="20">
        <f t="shared" ca="1" si="50"/>
        <v>47</v>
      </c>
      <c r="Y111" s="20" cm="1">
        <f t="array" aca="1" ref="Y111" ca="1">IF(X111="","",IF(X111&lt;&gt;X110,1,IF(Y110=misLíneas-2,0,Y110+1)))</f>
        <v>1</v>
      </c>
      <c r="Z111" s="20" t="str" cm="1">
        <f t="array" aca="1" ref="Z111" ca="1">IF(OR(Y111=0,Y111=""),"",INDEX(misCriticidades,X111)&amp;"-"&amp;IFERROR(MATCH(Y111,miOrdenTarjeta,0),0))</f>
        <v>3-1</v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19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13</v>
      </c>
      <c r="X112" s="20">
        <f t="shared" ca="1" si="50"/>
        <v>47</v>
      </c>
      <c r="Y112" s="20" cm="1">
        <f t="array" aca="1" ref="Y112" ca="1">IF(X112="","",IF(X112&lt;&gt;X111,1,IF(Y111=misLíneas-2,0,Y111+1)))</f>
        <v>2</v>
      </c>
      <c r="Z112" s="20" t="str" cm="1">
        <f t="array" aca="1" ref="Z112" ca="1">IF(OR(Y112=0,Y112=""),"",INDEX(misCriticidades,X112)&amp;"-"&amp;IFERROR(MATCH(Y112,miOrdenTarjeta,0),0))</f>
        <v>3-2</v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19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13</v>
      </c>
      <c r="X113" s="20">
        <f t="shared" ca="1" si="50"/>
        <v>47</v>
      </c>
      <c r="Y113" s="20" cm="1">
        <f t="array" aca="1" ref="Y113" ca="1">IF(X113="","",IF(X113&lt;&gt;X112,1,IF(Y112=misLíneas-2,0,Y112+1)))</f>
        <v>3</v>
      </c>
      <c r="Z113" s="20" t="str" cm="1">
        <f t="array" aca="1" ref="Z113" ca="1">IF(OR(Y113=0,Y113=""),"",INDEX(misCriticidades,X113)&amp;"-"&amp;IFERROR(MATCH(Y113,miOrdenTarjeta,0),0))</f>
        <v>3-3</v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19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13</v>
      </c>
      <c r="X114" s="20">
        <f t="shared" ca="1" si="50"/>
        <v>47</v>
      </c>
      <c r="Y114" s="20" cm="1">
        <f t="array" aca="1" ref="Y114" ca="1">IF(X114="","",IF(X114&lt;&gt;X113,1,IF(Y113=misLíneas-2,0,Y113+1)))</f>
        <v>4</v>
      </c>
      <c r="Z114" s="20" t="str" cm="1">
        <f t="array" aca="1" ref="Z114" ca="1">IF(OR(Y114=0,Y114=""),"",INDEX(misCriticidades,X114)&amp;"-"&amp;IFERROR(MATCH(Y114,miOrdenTarjeta,0),0))</f>
        <v>3-4</v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19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13</v>
      </c>
      <c r="X115" s="20">
        <f t="shared" ca="1" si="50"/>
        <v>47</v>
      </c>
      <c r="Y115" s="20" cm="1">
        <f t="array" aca="1" ref="Y115" ca="1">IF(X115="","",IF(X115&lt;&gt;X114,1,IF(Y114=misLíneas-2,0,Y114+1)))</f>
        <v>5</v>
      </c>
      <c r="Z115" s="20" t="str" cm="1">
        <f t="array" aca="1" ref="Z115" ca="1">IF(OR(Y115=0,Y115=""),"",INDEX(misCriticidades,X115)&amp;"-"&amp;IFERROR(MATCH(Y115,miOrdenTarjeta,0),0))</f>
        <v>3-5</v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19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13</v>
      </c>
      <c r="X116" s="20">
        <f t="shared" ca="1" si="50"/>
        <v>47</v>
      </c>
      <c r="Y116" s="20" cm="1">
        <f t="array" aca="1" ref="Y116" ca="1">IF(X116="","",IF(X116&lt;&gt;X115,1,IF(Y115=misLíneas-2,0,Y115+1)))</f>
        <v>6</v>
      </c>
      <c r="Z116" s="20" t="str" cm="1">
        <f t="array" aca="1" ref="Z116" ca="1">IF(OR(Y116=0,Y116=""),"",INDEX(misCriticidades,X116)&amp;"-"&amp;IFERROR(MATCH(Y116,miOrdenTarjeta,0),0))</f>
        <v>3-6</v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19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13</v>
      </c>
      <c r="X117" s="20">
        <f t="shared" ca="1" si="50"/>
        <v>47</v>
      </c>
      <c r="Y117" s="20" cm="1">
        <f t="array" aca="1" ref="Y117" ca="1">IF(X117="","",IF(X117&lt;&gt;X116,1,IF(Y116=misLíneas-2,0,Y116+1)))</f>
        <v>7</v>
      </c>
      <c r="Z117" s="20" t="str" cm="1">
        <f t="array" aca="1" ref="Z117" ca="1">IF(OR(Y117=0,Y117=""),"",INDEX(misCriticidades,X117)&amp;"-"&amp;IFERROR(MATCH(Y117,miOrdenTarjeta,0),0))</f>
        <v>3-7</v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19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13</v>
      </c>
      <c r="X118" s="20">
        <f t="shared" ca="1" si="50"/>
        <v>47</v>
      </c>
      <c r="Y118" s="20" cm="1">
        <f t="array" aca="1" ref="Y118" ca="1">IF(X118="","",IF(X118&lt;&gt;X117,1,IF(Y117=misLíneas-2,0,Y117+1)))</f>
        <v>8</v>
      </c>
      <c r="Z118" s="20" t="str" cm="1">
        <f t="array" aca="1" ref="Z118" ca="1">IF(OR(Y118=0,Y118=""),"",INDEX(misCriticidades,X118)&amp;"-"&amp;IFERROR(MATCH(Y118,miOrdenTarjeta,0),0))</f>
        <v>3-8</v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19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13</v>
      </c>
      <c r="X119" s="20">
        <f t="shared" ca="1" si="50"/>
        <v>47</v>
      </c>
      <c r="Y119" s="20" cm="1">
        <f t="array" aca="1" ref="Y119" ca="1">IF(X119="","",IF(X119&lt;&gt;X118,1,IF(Y118=misLíneas-2,0,Y118+1)))</f>
        <v>0</v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18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14</v>
      </c>
      <c r="X120" s="20">
        <f t="shared" ca="1" si="50"/>
        <v>46</v>
      </c>
      <c r="Y120" s="20" cm="1">
        <f t="array" aca="1" ref="Y120" ca="1">IF(X120="","",IF(X120&lt;&gt;X119,1,IF(Y119=misLíneas-2,0,Y119+1)))</f>
        <v>1</v>
      </c>
      <c r="Z120" s="20" t="str" cm="1">
        <f t="array" aca="1" ref="Z120" ca="1">IF(OR(Y120=0,Y120=""),"",INDEX(misCriticidades,X120)&amp;"-"&amp;IFERROR(MATCH(Y120,miOrdenTarjeta,0),0))</f>
        <v>3-1</v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18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14</v>
      </c>
      <c r="X121" s="20">
        <f t="shared" ca="1" si="50"/>
        <v>46</v>
      </c>
      <c r="Y121" s="20" cm="1">
        <f t="array" aca="1" ref="Y121" ca="1">IF(X121="","",IF(X121&lt;&gt;X120,1,IF(Y120=misLíneas-2,0,Y120+1)))</f>
        <v>2</v>
      </c>
      <c r="Z121" s="20" t="str" cm="1">
        <f t="array" aca="1" ref="Z121" ca="1">IF(OR(Y121=0,Y121=""),"",INDEX(misCriticidades,X121)&amp;"-"&amp;IFERROR(MATCH(Y121,miOrdenTarjeta,0),0))</f>
        <v>3-2</v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18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14</v>
      </c>
      <c r="X122" s="20">
        <f t="shared" ca="1" si="50"/>
        <v>46</v>
      </c>
      <c r="Y122" s="20" cm="1">
        <f t="array" aca="1" ref="Y122" ca="1">IF(X122="","",IF(X122&lt;&gt;X121,1,IF(Y121=misLíneas-2,0,Y121+1)))</f>
        <v>3</v>
      </c>
      <c r="Z122" s="20" t="str" cm="1">
        <f t="array" aca="1" ref="Z122" ca="1">IF(OR(Y122=0,Y122=""),"",INDEX(misCriticidades,X122)&amp;"-"&amp;IFERROR(MATCH(Y122,miOrdenTarjeta,0),0))</f>
        <v>3-3</v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18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14</v>
      </c>
      <c r="X123" s="20">
        <f t="shared" ca="1" si="50"/>
        <v>46</v>
      </c>
      <c r="Y123" s="20" cm="1">
        <f t="array" aca="1" ref="Y123" ca="1">IF(X123="","",IF(X123&lt;&gt;X122,1,IF(Y122=misLíneas-2,0,Y122+1)))</f>
        <v>4</v>
      </c>
      <c r="Z123" s="20" t="str" cm="1">
        <f t="array" aca="1" ref="Z123" ca="1">IF(OR(Y123=0,Y123=""),"",INDEX(misCriticidades,X123)&amp;"-"&amp;IFERROR(MATCH(Y123,miOrdenTarjeta,0),0))</f>
        <v>3-4</v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18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14</v>
      </c>
      <c r="X124" s="20">
        <f t="shared" ca="1" si="50"/>
        <v>46</v>
      </c>
      <c r="Y124" s="20" cm="1">
        <f t="array" aca="1" ref="Y124" ca="1">IF(X124="","",IF(X124&lt;&gt;X123,1,IF(Y123=misLíneas-2,0,Y123+1)))</f>
        <v>5</v>
      </c>
      <c r="Z124" s="20" t="str" cm="1">
        <f t="array" aca="1" ref="Z124" ca="1">IF(OR(Y124=0,Y124=""),"",INDEX(misCriticidades,X124)&amp;"-"&amp;IFERROR(MATCH(Y124,miOrdenTarjeta,0),0))</f>
        <v>3-5</v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18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14</v>
      </c>
      <c r="X125" s="20">
        <f t="shared" ca="1" si="50"/>
        <v>46</v>
      </c>
      <c r="Y125" s="20" cm="1">
        <f t="array" aca="1" ref="Y125" ca="1">IF(X125="","",IF(X125&lt;&gt;X124,1,IF(Y124=misLíneas-2,0,Y124+1)))</f>
        <v>6</v>
      </c>
      <c r="Z125" s="20" t="str" cm="1">
        <f t="array" aca="1" ref="Z125" ca="1">IF(OR(Y125=0,Y125=""),"",INDEX(misCriticidades,X125)&amp;"-"&amp;IFERROR(MATCH(Y125,miOrdenTarjeta,0),0))</f>
        <v>3-6</v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18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14</v>
      </c>
      <c r="X126" s="20">
        <f t="shared" ca="1" si="50"/>
        <v>46</v>
      </c>
      <c r="Y126" s="20" cm="1">
        <f t="array" aca="1" ref="Y126" ca="1">IF(X126="","",IF(X126&lt;&gt;X125,1,IF(Y125=misLíneas-2,0,Y125+1)))</f>
        <v>7</v>
      </c>
      <c r="Z126" s="20" t="str" cm="1">
        <f t="array" aca="1" ref="Z126" ca="1">IF(OR(Y126=0,Y126=""),"",INDEX(misCriticidades,X126)&amp;"-"&amp;IFERROR(MATCH(Y126,miOrdenTarjeta,0),0))</f>
        <v>3-7</v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18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14</v>
      </c>
      <c r="X127" s="20">
        <f t="shared" ca="1" si="50"/>
        <v>46</v>
      </c>
      <c r="Y127" s="20" cm="1">
        <f t="array" aca="1" ref="Y127" ca="1">IF(X127="","",IF(X127&lt;&gt;X126,1,IF(Y126=misLíneas-2,0,Y126+1)))</f>
        <v>8</v>
      </c>
      <c r="Z127" s="20" t="str" cm="1">
        <f t="array" aca="1" ref="Z127" ca="1">IF(OR(Y127=0,Y127=""),"",INDEX(misCriticidades,X127)&amp;"-"&amp;IFERROR(MATCH(Y127,miOrdenTarjeta,0),0))</f>
        <v>3-8</v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18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14</v>
      </c>
      <c r="X128" s="20">
        <f t="shared" ca="1" si="50"/>
        <v>46</v>
      </c>
      <c r="Y128" s="20" cm="1">
        <f t="array" aca="1" ref="Y128" ca="1">IF(X128="","",IF(X128&lt;&gt;X127,1,IF(Y127=misLíneas-2,0,Y127+1)))</f>
        <v>0</v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17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15</v>
      </c>
      <c r="X129" s="20">
        <f t="shared" ca="1" si="50"/>
        <v>45</v>
      </c>
      <c r="Y129" s="20" cm="1">
        <f t="array" aca="1" ref="Y129" ca="1">IF(X129="","",IF(X129&lt;&gt;X128,1,IF(Y128=misLíneas-2,0,Y128+1)))</f>
        <v>1</v>
      </c>
      <c r="Z129" s="20" t="str" cm="1">
        <f t="array" aca="1" ref="Z129" ca="1">IF(OR(Y129=0,Y129=""),"",INDEX(misCriticidades,X129)&amp;"-"&amp;IFERROR(MATCH(Y129,miOrdenTarjeta,0),0))</f>
        <v>1-1</v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17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15</v>
      </c>
      <c r="X130" s="20">
        <f t="shared" ca="1" si="50"/>
        <v>45</v>
      </c>
      <c r="Y130" s="20" cm="1">
        <f t="array" aca="1" ref="Y130" ca="1">IF(X130="","",IF(X130&lt;&gt;X129,1,IF(Y129=misLíneas-2,0,Y129+1)))</f>
        <v>2</v>
      </c>
      <c r="Z130" s="20" t="str" cm="1">
        <f t="array" aca="1" ref="Z130" ca="1">IF(OR(Y130=0,Y130=""),"",INDEX(misCriticidades,X130)&amp;"-"&amp;IFERROR(MATCH(Y130,miOrdenTarjeta,0),0))</f>
        <v>1-2</v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17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15</v>
      </c>
      <c r="X131" s="20">
        <f t="shared" ref="X131:X162" ca="1" si="55">IF(W131&gt;W130,IFERROR(IF(Z$1="v",SMALL(V$2:V$101,W131),LARGE(V$2:V$101,W131)),""),X130)</f>
        <v>45</v>
      </c>
      <c r="Y131" s="20" cm="1">
        <f t="array" aca="1" ref="Y131" ca="1">IF(X131="","",IF(X131&lt;&gt;X130,1,IF(Y130=misLíneas-2,0,Y130+1)))</f>
        <v>3</v>
      </c>
      <c r="Z131" s="20" t="str" cm="1">
        <f t="array" aca="1" ref="Z131" ca="1">IF(OR(Y131=0,Y131=""),"",INDEX(misCriticidades,X131)&amp;"-"&amp;IFERROR(MATCH(Y131,miOrdenTarjeta,0),0))</f>
        <v>1-3</v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17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15</v>
      </c>
      <c r="X132" s="20">
        <f t="shared" ca="1" si="55"/>
        <v>45</v>
      </c>
      <c r="Y132" s="20" cm="1">
        <f t="array" aca="1" ref="Y132" ca="1">IF(X132="","",IF(X132&lt;&gt;X131,1,IF(Y131=misLíneas-2,0,Y131+1)))</f>
        <v>4</v>
      </c>
      <c r="Z132" s="20" t="str" cm="1">
        <f t="array" aca="1" ref="Z132" ca="1">IF(OR(Y132=0,Y132=""),"",INDEX(misCriticidades,X132)&amp;"-"&amp;IFERROR(MATCH(Y132,miOrdenTarjeta,0),0))</f>
        <v>1-4</v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17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15</v>
      </c>
      <c r="X133" s="20">
        <f t="shared" ca="1" si="55"/>
        <v>45</v>
      </c>
      <c r="Y133" s="20" cm="1">
        <f t="array" aca="1" ref="Y133" ca="1">IF(X133="","",IF(X133&lt;&gt;X132,1,IF(Y132=misLíneas-2,0,Y132+1)))</f>
        <v>5</v>
      </c>
      <c r="Z133" s="20" t="str" cm="1">
        <f t="array" aca="1" ref="Z133" ca="1">IF(OR(Y133=0,Y133=""),"",INDEX(misCriticidades,X133)&amp;"-"&amp;IFERROR(MATCH(Y133,miOrdenTarjeta,0),0))</f>
        <v>1-5</v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17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15</v>
      </c>
      <c r="X134" s="20">
        <f t="shared" ca="1" si="55"/>
        <v>45</v>
      </c>
      <c r="Y134" s="20" cm="1">
        <f t="array" aca="1" ref="Y134" ca="1">IF(X134="","",IF(X134&lt;&gt;X133,1,IF(Y133=misLíneas-2,0,Y133+1)))</f>
        <v>6</v>
      </c>
      <c r="Z134" s="20" t="str" cm="1">
        <f t="array" aca="1" ref="Z134" ca="1">IF(OR(Y134=0,Y134=""),"",INDEX(misCriticidades,X134)&amp;"-"&amp;IFERROR(MATCH(Y134,miOrdenTarjeta,0),0))</f>
        <v>1-6</v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17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15</v>
      </c>
      <c r="X135" s="20">
        <f t="shared" ca="1" si="55"/>
        <v>45</v>
      </c>
      <c r="Y135" s="20" cm="1">
        <f t="array" aca="1" ref="Y135" ca="1">IF(X135="","",IF(X135&lt;&gt;X134,1,IF(Y134=misLíneas-2,0,Y134+1)))</f>
        <v>7</v>
      </c>
      <c r="Z135" s="20" t="str" cm="1">
        <f t="array" aca="1" ref="Z135" ca="1">IF(OR(Y135=0,Y135=""),"",INDEX(misCriticidades,X135)&amp;"-"&amp;IFERROR(MATCH(Y135,miOrdenTarjeta,0),0))</f>
        <v>1-7</v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17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15</v>
      </c>
      <c r="X136" s="20">
        <f t="shared" ca="1" si="55"/>
        <v>45</v>
      </c>
      <c r="Y136" s="20" cm="1">
        <f t="array" aca="1" ref="Y136" ca="1">IF(X136="","",IF(X136&lt;&gt;X135,1,IF(Y135=misLíneas-2,0,Y135+1)))</f>
        <v>8</v>
      </c>
      <c r="Z136" s="20" t="str" cm="1">
        <f t="array" aca="1" ref="Z136" ca="1">IF(OR(Y136=0,Y136=""),"",INDEX(misCriticidades,X136)&amp;"-"&amp;IFERROR(MATCH(Y136,miOrdenTarjeta,0),0))</f>
        <v>1-8</v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17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15</v>
      </c>
      <c r="X137" s="20">
        <f t="shared" ca="1" si="55"/>
        <v>45</v>
      </c>
      <c r="Y137" s="20" cm="1">
        <f t="array" aca="1" ref="Y137" ca="1">IF(X137="","",IF(X137&lt;&gt;X136,1,IF(Y136=misLíneas-2,0,Y136+1)))</f>
        <v>0</v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16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16</v>
      </c>
      <c r="X138" s="20">
        <f t="shared" ca="1" si="55"/>
        <v>44</v>
      </c>
      <c r="Y138" s="20" cm="1">
        <f t="array" aca="1" ref="Y138" ca="1">IF(X138="","",IF(X138&lt;&gt;X137,1,IF(Y137=misLíneas-2,0,Y137+1)))</f>
        <v>1</v>
      </c>
      <c r="Z138" s="20" t="str" cm="1">
        <f t="array" aca="1" ref="Z138" ca="1">IF(OR(Y138=0,Y138=""),"",INDEX(misCriticidades,X138)&amp;"-"&amp;IFERROR(MATCH(Y138,miOrdenTarjeta,0),0))</f>
        <v>2-1</v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16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16</v>
      </c>
      <c r="X139" s="20">
        <f t="shared" ca="1" si="55"/>
        <v>44</v>
      </c>
      <c r="Y139" s="20" cm="1">
        <f t="array" aca="1" ref="Y139" ca="1">IF(X139="","",IF(X139&lt;&gt;X138,1,IF(Y138=misLíneas-2,0,Y138+1)))</f>
        <v>2</v>
      </c>
      <c r="Z139" s="20" t="str" cm="1">
        <f t="array" aca="1" ref="Z139" ca="1">IF(OR(Y139=0,Y139=""),"",INDEX(misCriticidades,X139)&amp;"-"&amp;IFERROR(MATCH(Y139,miOrdenTarjeta,0),0))</f>
        <v>2-2</v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16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16</v>
      </c>
      <c r="X140" s="20">
        <f t="shared" ca="1" si="55"/>
        <v>44</v>
      </c>
      <c r="Y140" s="20" cm="1">
        <f t="array" aca="1" ref="Y140" ca="1">IF(X140="","",IF(X140&lt;&gt;X139,1,IF(Y139=misLíneas-2,0,Y139+1)))</f>
        <v>3</v>
      </c>
      <c r="Z140" s="20" t="str" cm="1">
        <f t="array" aca="1" ref="Z140" ca="1">IF(OR(Y140=0,Y140=""),"",INDEX(misCriticidades,X140)&amp;"-"&amp;IFERROR(MATCH(Y140,miOrdenTarjeta,0),0))</f>
        <v>2-3</v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16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16</v>
      </c>
      <c r="X141" s="20">
        <f t="shared" ca="1" si="55"/>
        <v>44</v>
      </c>
      <c r="Y141" s="20" cm="1">
        <f t="array" aca="1" ref="Y141" ca="1">IF(X141="","",IF(X141&lt;&gt;X140,1,IF(Y140=misLíneas-2,0,Y140+1)))</f>
        <v>4</v>
      </c>
      <c r="Z141" s="20" t="str" cm="1">
        <f t="array" aca="1" ref="Z141" ca="1">IF(OR(Y141=0,Y141=""),"",INDEX(misCriticidades,X141)&amp;"-"&amp;IFERROR(MATCH(Y141,miOrdenTarjeta,0),0))</f>
        <v>2-4</v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16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16</v>
      </c>
      <c r="X142" s="20">
        <f t="shared" ca="1" si="55"/>
        <v>44</v>
      </c>
      <c r="Y142" s="20" cm="1">
        <f t="array" aca="1" ref="Y142" ca="1">IF(X142="","",IF(X142&lt;&gt;X141,1,IF(Y141=misLíneas-2,0,Y141+1)))</f>
        <v>5</v>
      </c>
      <c r="Z142" s="20" t="str" cm="1">
        <f t="array" aca="1" ref="Z142" ca="1">IF(OR(Y142=0,Y142=""),"",INDEX(misCriticidades,X142)&amp;"-"&amp;IFERROR(MATCH(Y142,miOrdenTarjeta,0),0))</f>
        <v>2-5</v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16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16</v>
      </c>
      <c r="X143" s="20">
        <f t="shared" ca="1" si="55"/>
        <v>44</v>
      </c>
      <c r="Y143" s="20" cm="1">
        <f t="array" aca="1" ref="Y143" ca="1">IF(X143="","",IF(X143&lt;&gt;X142,1,IF(Y142=misLíneas-2,0,Y142+1)))</f>
        <v>6</v>
      </c>
      <c r="Z143" s="20" t="str" cm="1">
        <f t="array" aca="1" ref="Z143" ca="1">IF(OR(Y143=0,Y143=""),"",INDEX(misCriticidades,X143)&amp;"-"&amp;IFERROR(MATCH(Y143,miOrdenTarjeta,0),0))</f>
        <v>2-6</v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16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16</v>
      </c>
      <c r="X144" s="20">
        <f t="shared" ca="1" si="55"/>
        <v>44</v>
      </c>
      <c r="Y144" s="20" cm="1">
        <f t="array" aca="1" ref="Y144" ca="1">IF(X144="","",IF(X144&lt;&gt;X143,1,IF(Y143=misLíneas-2,0,Y143+1)))</f>
        <v>7</v>
      </c>
      <c r="Z144" s="20" t="str" cm="1">
        <f t="array" aca="1" ref="Z144" ca="1">IF(OR(Y144=0,Y144=""),"",INDEX(misCriticidades,X144)&amp;"-"&amp;IFERROR(MATCH(Y144,miOrdenTarjeta,0),0))</f>
        <v>2-7</v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16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16</v>
      </c>
      <c r="X145" s="20">
        <f t="shared" ca="1" si="55"/>
        <v>44</v>
      </c>
      <c r="Y145" s="20" cm="1">
        <f t="array" aca="1" ref="Y145" ca="1">IF(X145="","",IF(X145&lt;&gt;X144,1,IF(Y144=misLíneas-2,0,Y144+1)))</f>
        <v>8</v>
      </c>
      <c r="Z145" s="20" t="str" cm="1">
        <f t="array" aca="1" ref="Z145" ca="1">IF(OR(Y145=0,Y145=""),"",INDEX(misCriticidades,X145)&amp;"-"&amp;IFERROR(MATCH(Y145,miOrdenTarjeta,0),0))</f>
        <v>2-8</v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16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16</v>
      </c>
      <c r="X146" s="20">
        <f t="shared" ca="1" si="55"/>
        <v>44</v>
      </c>
      <c r="Y146" s="20" cm="1">
        <f t="array" aca="1" ref="Y146" ca="1">IF(X146="","",IF(X146&lt;&gt;X145,1,IF(Y145=misLíneas-2,0,Y145+1)))</f>
        <v>0</v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15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17</v>
      </c>
      <c r="X147" s="20">
        <f t="shared" ca="1" si="55"/>
        <v>43</v>
      </c>
      <c r="Y147" s="20" cm="1">
        <f t="array" aca="1" ref="Y147" ca="1">IF(X147="","",IF(X147&lt;&gt;X146,1,IF(Y146=misLíneas-2,0,Y146+1)))</f>
        <v>1</v>
      </c>
      <c r="Z147" s="20" t="str" cm="1">
        <f t="array" aca="1" ref="Z147" ca="1">IF(OR(Y147=0,Y147=""),"",INDEX(misCriticidades,X147)&amp;"-"&amp;IFERROR(MATCH(Y147,miOrdenTarjeta,0),0))</f>
        <v>3-1</v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15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17</v>
      </c>
      <c r="X148" s="20">
        <f t="shared" ca="1" si="55"/>
        <v>43</v>
      </c>
      <c r="Y148" s="20" cm="1">
        <f t="array" aca="1" ref="Y148" ca="1">IF(X148="","",IF(X148&lt;&gt;X147,1,IF(Y147=misLíneas-2,0,Y147+1)))</f>
        <v>2</v>
      </c>
      <c r="Z148" s="20" t="str" cm="1">
        <f t="array" aca="1" ref="Z148" ca="1">IF(OR(Y148=0,Y148=""),"",INDEX(misCriticidades,X148)&amp;"-"&amp;IFERROR(MATCH(Y148,miOrdenTarjeta,0),0))</f>
        <v>3-2</v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15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17</v>
      </c>
      <c r="X149" s="20">
        <f t="shared" ca="1" si="55"/>
        <v>43</v>
      </c>
      <c r="Y149" s="20" cm="1">
        <f t="array" aca="1" ref="Y149" ca="1">IF(X149="","",IF(X149&lt;&gt;X148,1,IF(Y148=misLíneas-2,0,Y148+1)))</f>
        <v>3</v>
      </c>
      <c r="Z149" s="20" t="str" cm="1">
        <f t="array" aca="1" ref="Z149" ca="1">IF(OR(Y149=0,Y149=""),"",INDEX(misCriticidades,X149)&amp;"-"&amp;IFERROR(MATCH(Y149,miOrdenTarjeta,0),0))</f>
        <v>3-3</v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15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17</v>
      </c>
      <c r="X150" s="20">
        <f t="shared" ca="1" si="55"/>
        <v>43</v>
      </c>
      <c r="Y150" s="20" cm="1">
        <f t="array" aca="1" ref="Y150" ca="1">IF(X150="","",IF(X150&lt;&gt;X149,1,IF(Y149=misLíneas-2,0,Y149+1)))</f>
        <v>4</v>
      </c>
      <c r="Z150" s="20" t="str" cm="1">
        <f t="array" aca="1" ref="Z150" ca="1">IF(OR(Y150=0,Y150=""),"",INDEX(misCriticidades,X150)&amp;"-"&amp;IFERROR(MATCH(Y150,miOrdenTarjeta,0),0))</f>
        <v>3-4</v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15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17</v>
      </c>
      <c r="X151" s="20">
        <f t="shared" ca="1" si="55"/>
        <v>43</v>
      </c>
      <c r="Y151" s="20" cm="1">
        <f t="array" aca="1" ref="Y151" ca="1">IF(X151="","",IF(X151&lt;&gt;X150,1,IF(Y150=misLíneas-2,0,Y150+1)))</f>
        <v>5</v>
      </c>
      <c r="Z151" s="20" t="str" cm="1">
        <f t="array" aca="1" ref="Z151" ca="1">IF(OR(Y151=0,Y151=""),"",INDEX(misCriticidades,X151)&amp;"-"&amp;IFERROR(MATCH(Y151,miOrdenTarjeta,0),0))</f>
        <v>3-5</v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15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17</v>
      </c>
      <c r="X152" s="20">
        <f t="shared" ca="1" si="55"/>
        <v>43</v>
      </c>
      <c r="Y152" s="20" cm="1">
        <f t="array" aca="1" ref="Y152" ca="1">IF(X152="","",IF(X152&lt;&gt;X151,1,IF(Y151=misLíneas-2,0,Y151+1)))</f>
        <v>6</v>
      </c>
      <c r="Z152" s="20" t="str" cm="1">
        <f t="array" aca="1" ref="Z152" ca="1">IF(OR(Y152=0,Y152=""),"",INDEX(misCriticidades,X152)&amp;"-"&amp;IFERROR(MATCH(Y152,miOrdenTarjeta,0),0))</f>
        <v>3-6</v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15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17</v>
      </c>
      <c r="X153" s="20">
        <f t="shared" ca="1" si="55"/>
        <v>43</v>
      </c>
      <c r="Y153" s="20" cm="1">
        <f t="array" aca="1" ref="Y153" ca="1">IF(X153="","",IF(X153&lt;&gt;X152,1,IF(Y152=misLíneas-2,0,Y152+1)))</f>
        <v>7</v>
      </c>
      <c r="Z153" s="20" t="str" cm="1">
        <f t="array" aca="1" ref="Z153" ca="1">IF(OR(Y153=0,Y153=""),"",INDEX(misCriticidades,X153)&amp;"-"&amp;IFERROR(MATCH(Y153,miOrdenTarjeta,0),0))</f>
        <v>3-7</v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15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17</v>
      </c>
      <c r="X154" s="20">
        <f t="shared" ca="1" si="55"/>
        <v>43</v>
      </c>
      <c r="Y154" s="20" cm="1">
        <f t="array" aca="1" ref="Y154" ca="1">IF(X154="","",IF(X154&lt;&gt;X153,1,IF(Y153=misLíneas-2,0,Y153+1)))</f>
        <v>8</v>
      </c>
      <c r="Z154" s="20" t="str" cm="1">
        <f t="array" aca="1" ref="Z154" ca="1">IF(OR(Y154=0,Y154=""),"",INDEX(misCriticidades,X154)&amp;"-"&amp;IFERROR(MATCH(Y154,miOrdenTarjeta,0),0))</f>
        <v>3-8</v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15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17</v>
      </c>
      <c r="X155" s="20">
        <f t="shared" ca="1" si="55"/>
        <v>43</v>
      </c>
      <c r="Y155" s="20" cm="1">
        <f t="array" aca="1" ref="Y155" ca="1">IF(X155="","",IF(X155&lt;&gt;X154,1,IF(Y154=misLíneas-2,0,Y154+1)))</f>
        <v>0</v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14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18</v>
      </c>
      <c r="X156" s="20">
        <f t="shared" ca="1" si="55"/>
        <v>42</v>
      </c>
      <c r="Y156" s="20" cm="1">
        <f t="array" aca="1" ref="Y156" ca="1">IF(X156="","",IF(X156&lt;&gt;X155,1,IF(Y155=misLíneas-2,0,Y155+1)))</f>
        <v>1</v>
      </c>
      <c r="Z156" s="20" t="str" cm="1">
        <f t="array" aca="1" ref="Z156" ca="1">IF(OR(Y156=0,Y156=""),"",INDEX(misCriticidades,X156)&amp;"-"&amp;IFERROR(MATCH(Y156,miOrdenTarjeta,0),0))</f>
        <v>1-1</v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14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18</v>
      </c>
      <c r="X157" s="20">
        <f t="shared" ca="1" si="55"/>
        <v>42</v>
      </c>
      <c r="Y157" s="20" cm="1">
        <f t="array" aca="1" ref="Y157" ca="1">IF(X157="","",IF(X157&lt;&gt;X156,1,IF(Y156=misLíneas-2,0,Y156+1)))</f>
        <v>2</v>
      </c>
      <c r="Z157" s="20" t="str" cm="1">
        <f t="array" aca="1" ref="Z157" ca="1">IF(OR(Y157=0,Y157=""),"",INDEX(misCriticidades,X157)&amp;"-"&amp;IFERROR(MATCH(Y157,miOrdenTarjeta,0),0))</f>
        <v>1-2</v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14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18</v>
      </c>
      <c r="X158" s="20">
        <f t="shared" ca="1" si="55"/>
        <v>42</v>
      </c>
      <c r="Y158" s="20" cm="1">
        <f t="array" aca="1" ref="Y158" ca="1">IF(X158="","",IF(X158&lt;&gt;X157,1,IF(Y157=misLíneas-2,0,Y157+1)))</f>
        <v>3</v>
      </c>
      <c r="Z158" s="20" t="str" cm="1">
        <f t="array" aca="1" ref="Z158" ca="1">IF(OR(Y158=0,Y158=""),"",INDEX(misCriticidades,X158)&amp;"-"&amp;IFERROR(MATCH(Y158,miOrdenTarjeta,0),0))</f>
        <v>1-3</v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14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18</v>
      </c>
      <c r="X159" s="20">
        <f t="shared" ca="1" si="55"/>
        <v>42</v>
      </c>
      <c r="Y159" s="20" cm="1">
        <f t="array" aca="1" ref="Y159" ca="1">IF(X159="","",IF(X159&lt;&gt;X158,1,IF(Y158=misLíneas-2,0,Y158+1)))</f>
        <v>4</v>
      </c>
      <c r="Z159" s="20" t="str" cm="1">
        <f t="array" aca="1" ref="Z159" ca="1">IF(OR(Y159=0,Y159=""),"",INDEX(misCriticidades,X159)&amp;"-"&amp;IFERROR(MATCH(Y159,miOrdenTarjeta,0),0))</f>
        <v>1-4</v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14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18</v>
      </c>
      <c r="X160" s="20">
        <f t="shared" ca="1" si="55"/>
        <v>42</v>
      </c>
      <c r="Y160" s="20" cm="1">
        <f t="array" aca="1" ref="Y160" ca="1">IF(X160="","",IF(X160&lt;&gt;X159,1,IF(Y159=misLíneas-2,0,Y159+1)))</f>
        <v>5</v>
      </c>
      <c r="Z160" s="20" t="str" cm="1">
        <f t="array" aca="1" ref="Z160" ca="1">IF(OR(Y160=0,Y160=""),"",INDEX(misCriticidades,X160)&amp;"-"&amp;IFERROR(MATCH(Y160,miOrdenTarjeta,0),0))</f>
        <v>1-5</v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14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18</v>
      </c>
      <c r="X161" s="20">
        <f t="shared" ca="1" si="55"/>
        <v>42</v>
      </c>
      <c r="Y161" s="20" cm="1">
        <f t="array" aca="1" ref="Y161" ca="1">IF(X161="","",IF(X161&lt;&gt;X160,1,IF(Y160=misLíneas-2,0,Y160+1)))</f>
        <v>6</v>
      </c>
      <c r="Z161" s="20" t="str" cm="1">
        <f t="array" aca="1" ref="Z161" ca="1">IF(OR(Y161=0,Y161=""),"",INDEX(misCriticidades,X161)&amp;"-"&amp;IFERROR(MATCH(Y161,miOrdenTarjeta,0),0))</f>
        <v>1-6</v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14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18</v>
      </c>
      <c r="X162" s="20">
        <f t="shared" ca="1" si="55"/>
        <v>42</v>
      </c>
      <c r="Y162" s="20" cm="1">
        <f t="array" aca="1" ref="Y162" ca="1">IF(X162="","",IF(X162&lt;&gt;X161,1,IF(Y161=misLíneas-2,0,Y161+1)))</f>
        <v>7</v>
      </c>
      <c r="Z162" s="20" t="str" cm="1">
        <f t="array" aca="1" ref="Z162" ca="1">IF(OR(Y162=0,Y162=""),"",INDEX(misCriticidades,X162)&amp;"-"&amp;IFERROR(MATCH(Y162,miOrdenTarjeta,0),0))</f>
        <v>1-7</v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14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18</v>
      </c>
      <c r="X163" s="20">
        <f t="shared" ref="X163:X194" ca="1" si="75">IF(W163&gt;W162,IFERROR(IF(Z$1="v",SMALL(V$2:V$101,W163),LARGE(V$2:V$101,W163)),""),X162)</f>
        <v>42</v>
      </c>
      <c r="Y163" s="20" cm="1">
        <f t="array" aca="1" ref="Y163" ca="1">IF(X163="","",IF(X163&lt;&gt;X162,1,IF(Y162=misLíneas-2,0,Y162+1)))</f>
        <v>8</v>
      </c>
      <c r="Z163" s="20" t="str" cm="1">
        <f t="array" aca="1" ref="Z163" ca="1">IF(OR(Y163=0,Y163=""),"",INDEX(misCriticidades,X163)&amp;"-"&amp;IFERROR(MATCH(Y163,miOrdenTarjeta,0),0))</f>
        <v>1-8</v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14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18</v>
      </c>
      <c r="X164" s="20">
        <f t="shared" ca="1" si="75"/>
        <v>42</v>
      </c>
      <c r="Y164" s="20" cm="1">
        <f t="array" aca="1" ref="Y164" ca="1">IF(X164="","",IF(X164&lt;&gt;X163,1,IF(Y163=misLíneas-2,0,Y163+1)))</f>
        <v>0</v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13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19</v>
      </c>
      <c r="X165" s="20">
        <f t="shared" ca="1" si="75"/>
        <v>41</v>
      </c>
      <c r="Y165" s="20" cm="1">
        <f t="array" aca="1" ref="Y165" ca="1">IF(X165="","",IF(X165&lt;&gt;X164,1,IF(Y164=misLíneas-2,0,Y164+1)))</f>
        <v>1</v>
      </c>
      <c r="Z165" s="20" t="str" cm="1">
        <f t="array" aca="1" ref="Z165" ca="1">IF(OR(Y165=0,Y165=""),"",INDEX(misCriticidades,X165)&amp;"-"&amp;IFERROR(MATCH(Y165,miOrdenTarjeta,0),0))</f>
        <v>2-1</v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13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19</v>
      </c>
      <c r="X166" s="20">
        <f t="shared" ca="1" si="75"/>
        <v>41</v>
      </c>
      <c r="Y166" s="20" cm="1">
        <f t="array" aca="1" ref="Y166" ca="1">IF(X166="","",IF(X166&lt;&gt;X165,1,IF(Y165=misLíneas-2,0,Y165+1)))</f>
        <v>2</v>
      </c>
      <c r="Z166" s="20" t="str" cm="1">
        <f t="array" aca="1" ref="Z166" ca="1">IF(OR(Y166=0,Y166=""),"",INDEX(misCriticidades,X166)&amp;"-"&amp;IFERROR(MATCH(Y166,miOrdenTarjeta,0),0))</f>
        <v>2-2</v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13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19</v>
      </c>
      <c r="X167" s="20">
        <f t="shared" ca="1" si="75"/>
        <v>41</v>
      </c>
      <c r="Y167" s="20" cm="1">
        <f t="array" aca="1" ref="Y167" ca="1">IF(X167="","",IF(X167&lt;&gt;X166,1,IF(Y166=misLíneas-2,0,Y166+1)))</f>
        <v>3</v>
      </c>
      <c r="Z167" s="20" t="str" cm="1">
        <f t="array" aca="1" ref="Z167" ca="1">IF(OR(Y167=0,Y167=""),"",INDEX(misCriticidades,X167)&amp;"-"&amp;IFERROR(MATCH(Y167,miOrdenTarjeta,0),0))</f>
        <v>2-3</v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13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19</v>
      </c>
      <c r="X168" s="20">
        <f t="shared" ca="1" si="75"/>
        <v>41</v>
      </c>
      <c r="Y168" s="20" cm="1">
        <f t="array" aca="1" ref="Y168" ca="1">IF(X168="","",IF(X168&lt;&gt;X167,1,IF(Y167=misLíneas-2,0,Y167+1)))</f>
        <v>4</v>
      </c>
      <c r="Z168" s="20" t="str" cm="1">
        <f t="array" aca="1" ref="Z168" ca="1">IF(OR(Y168=0,Y168=""),"",INDEX(misCriticidades,X168)&amp;"-"&amp;IFERROR(MATCH(Y168,miOrdenTarjeta,0),0))</f>
        <v>2-4</v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13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19</v>
      </c>
      <c r="X169" s="20">
        <f t="shared" ca="1" si="75"/>
        <v>41</v>
      </c>
      <c r="Y169" s="20" cm="1">
        <f t="array" aca="1" ref="Y169" ca="1">IF(X169="","",IF(X169&lt;&gt;X168,1,IF(Y168=misLíneas-2,0,Y168+1)))</f>
        <v>5</v>
      </c>
      <c r="Z169" s="20" t="str" cm="1">
        <f t="array" aca="1" ref="Z169" ca="1">IF(OR(Y169=0,Y169=""),"",INDEX(misCriticidades,X169)&amp;"-"&amp;IFERROR(MATCH(Y169,miOrdenTarjeta,0),0))</f>
        <v>2-5</v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13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19</v>
      </c>
      <c r="X170" s="20">
        <f t="shared" ca="1" si="75"/>
        <v>41</v>
      </c>
      <c r="Y170" s="20" cm="1">
        <f t="array" aca="1" ref="Y170" ca="1">IF(X170="","",IF(X170&lt;&gt;X169,1,IF(Y169=misLíneas-2,0,Y169+1)))</f>
        <v>6</v>
      </c>
      <c r="Z170" s="20" t="str" cm="1">
        <f t="array" aca="1" ref="Z170" ca="1">IF(OR(Y170=0,Y170=""),"",INDEX(misCriticidades,X170)&amp;"-"&amp;IFERROR(MATCH(Y170,miOrdenTarjeta,0),0))</f>
        <v>2-6</v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13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19</v>
      </c>
      <c r="X171" s="20">
        <f t="shared" ca="1" si="75"/>
        <v>41</v>
      </c>
      <c r="Y171" s="20" cm="1">
        <f t="array" aca="1" ref="Y171" ca="1">IF(X171="","",IF(X171&lt;&gt;X170,1,IF(Y170=misLíneas-2,0,Y170+1)))</f>
        <v>7</v>
      </c>
      <c r="Z171" s="20" t="str" cm="1">
        <f t="array" aca="1" ref="Z171" ca="1">IF(OR(Y171=0,Y171=""),"",INDEX(misCriticidades,X171)&amp;"-"&amp;IFERROR(MATCH(Y171,miOrdenTarjeta,0),0))</f>
        <v>2-7</v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13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19</v>
      </c>
      <c r="X172" s="20">
        <f t="shared" ca="1" si="75"/>
        <v>41</v>
      </c>
      <c r="Y172" s="20" cm="1">
        <f t="array" aca="1" ref="Y172" ca="1">IF(X172="","",IF(X172&lt;&gt;X171,1,IF(Y171=misLíneas-2,0,Y171+1)))</f>
        <v>8</v>
      </c>
      <c r="Z172" s="20" t="str" cm="1">
        <f t="array" aca="1" ref="Z172" ca="1">IF(OR(Y172=0,Y172=""),"",INDEX(misCriticidades,X172)&amp;"-"&amp;IFERROR(MATCH(Y172,miOrdenTarjeta,0),0))</f>
        <v>2-8</v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13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19</v>
      </c>
      <c r="X173" s="20">
        <f t="shared" ca="1" si="75"/>
        <v>41</v>
      </c>
      <c r="Y173" s="20" cm="1">
        <f t="array" aca="1" ref="Y173" ca="1">IF(X173="","",IF(X173&lt;&gt;X172,1,IF(Y172=misLíneas-2,0,Y172+1)))</f>
        <v>0</v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12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20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12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20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12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20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12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20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12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20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12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20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12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20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12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20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12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20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11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20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11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20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11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20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11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20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11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20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11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20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11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20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11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20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11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20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10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20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10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20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10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20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10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20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10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20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10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20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10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20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1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Leo Bolaños</cp:lastModifiedBy>
  <cp:revision>0</cp:revision>
  <dcterms:created xsi:type="dcterms:W3CDTF">2022-12-26T11:27:14Z</dcterms:created>
  <dcterms:modified xsi:type="dcterms:W3CDTF">2026-01-14T17:55:50Z</dcterms:modified>
  <cp:category/>
  <cp:contentStatus/>
</cp:coreProperties>
</file>