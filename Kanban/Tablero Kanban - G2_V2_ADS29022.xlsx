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13_ncr:1_{8C60A106-DEEA-4F7F-AF84-8ED66C9E2F90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D58" i="5" s="1" a="1"/>
  <c r="D58" i="5" s="1"/>
  <c r="H56" i="2"/>
  <c r="I55" i="2" a="1"/>
  <c r="I55" i="2" s="1"/>
  <c r="D55" i="5" s="1" a="1"/>
  <c r="D55" i="5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0" i="5" l="1" a="1"/>
  <c r="D60" i="5" s="1"/>
  <c r="D51" i="5" a="1"/>
  <c r="D51" i="5" s="1"/>
  <c r="D54" i="5" a="1"/>
  <c r="D54" i="5" s="1"/>
  <c r="D57" i="5" a="1"/>
  <c r="D57" i="5" s="1"/>
  <c r="D59" i="5" a="1"/>
  <c r="D59" i="5" s="1"/>
  <c r="D45" i="5" a="1"/>
  <c r="D4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4" i="5"/>
  <c r="G69" i="5"/>
  <c r="G38" i="5"/>
  <c r="G45" i="5"/>
  <c r="G51" i="5"/>
  <c r="G22" i="5"/>
  <c r="G16" i="5"/>
  <c r="G99" i="5"/>
  <c r="G41" i="5"/>
  <c r="G87" i="5"/>
  <c r="G10" i="5"/>
  <c r="G82" i="5"/>
  <c r="G53" i="5"/>
  <c r="G83" i="5"/>
  <c r="G31" i="5"/>
  <c r="G37" i="5"/>
  <c r="G46" i="5"/>
  <c r="G11" i="5"/>
  <c r="G49" i="5"/>
  <c r="G18" i="5"/>
  <c r="G92" i="5"/>
  <c r="G25" i="5"/>
  <c r="G27" i="5"/>
  <c r="G8" i="5"/>
  <c r="G70" i="5"/>
  <c r="G89" i="5"/>
  <c r="G14" i="5"/>
  <c r="G28" i="5"/>
  <c r="G93" i="5"/>
  <c r="G24" i="5"/>
  <c r="G20" i="5"/>
  <c r="G12" i="5"/>
  <c r="G85" i="5"/>
  <c r="G94" i="5"/>
  <c r="G40" i="5"/>
  <c r="G61" i="5"/>
  <c r="G97" i="5"/>
  <c r="G90" i="5"/>
  <c r="G3" i="5"/>
  <c r="G32" i="5"/>
  <c r="G35" i="5"/>
  <c r="G88" i="5"/>
  <c r="G64" i="5"/>
  <c r="G80" i="5"/>
  <c r="G30" i="5"/>
  <c r="G44" i="5"/>
  <c r="G98" i="5"/>
  <c r="G81" i="5"/>
  <c r="G7" i="5"/>
  <c r="G59" i="5"/>
  <c r="G52" i="5"/>
  <c r="G48" i="5"/>
  <c r="G34" i="5"/>
  <c r="G26" i="5"/>
  <c r="G60" i="5"/>
  <c r="G84" i="5"/>
  <c r="G42" i="5"/>
  <c r="G6" i="5"/>
  <c r="G86" i="5"/>
  <c r="G91" i="5"/>
  <c r="G23" i="5"/>
  <c r="G79" i="5"/>
  <c r="G57" i="5"/>
  <c r="G78" i="5"/>
  <c r="G5" i="5"/>
  <c r="G21" i="5"/>
  <c r="G56" i="5"/>
  <c r="G66" i="5"/>
  <c r="G55" i="5"/>
  <c r="G101" i="5"/>
  <c r="G74" i="5"/>
  <c r="G76" i="5"/>
  <c r="G96" i="5"/>
  <c r="G65" i="5"/>
  <c r="G68" i="5"/>
  <c r="G29" i="5"/>
  <c r="G72" i="5"/>
  <c r="G95" i="5"/>
  <c r="G50" i="5"/>
  <c r="G71" i="5"/>
  <c r="G62" i="5"/>
  <c r="G19" i="5"/>
  <c r="G13" i="5"/>
  <c r="G39" i="5"/>
  <c r="G43" i="5"/>
  <c r="G33" i="5"/>
  <c r="G63" i="5"/>
  <c r="G100" i="5"/>
  <c r="G58" i="5"/>
  <c r="G17" i="5"/>
  <c r="G73" i="5"/>
  <c r="G67" i="5"/>
  <c r="G2" i="5"/>
  <c r="G15" i="5"/>
  <c r="G36" i="5"/>
  <c r="G75" i="5"/>
  <c r="G77" i="5"/>
  <c r="G47" i="5"/>
  <c r="G4" i="5"/>
  <c r="G9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E101" i="5"/>
  <c r="E66" i="5"/>
  <c r="N18" i="5"/>
  <c r="E52" i="5"/>
  <c r="N32" i="5"/>
  <c r="M29" i="5"/>
  <c r="M56" i="5"/>
  <c r="M4" i="5"/>
  <c r="N3" i="5"/>
  <c r="E34" i="5"/>
  <c r="E99" i="5"/>
  <c r="M66" i="5"/>
  <c r="M58" i="5"/>
  <c r="M23" i="5"/>
  <c r="E26" i="5"/>
  <c r="N85" i="5"/>
  <c r="M28" i="5"/>
  <c r="M96" i="5"/>
  <c r="N77" i="5"/>
  <c r="E30" i="5"/>
  <c r="E49" i="5"/>
  <c r="E100" i="5"/>
  <c r="M7" i="5"/>
  <c r="E63" i="5"/>
  <c r="E47" i="5"/>
  <c r="N12" i="5"/>
  <c r="N64" i="5"/>
  <c r="E85" i="5"/>
  <c r="E68" i="5"/>
  <c r="M3" i="5"/>
  <c r="N101" i="5"/>
  <c r="E80" i="5"/>
  <c r="N80" i="5"/>
  <c r="E74" i="5"/>
  <c r="E15" i="5"/>
  <c r="N21" i="5"/>
  <c r="N68" i="5"/>
  <c r="M90" i="5"/>
  <c r="M73" i="5"/>
  <c r="M57" i="5"/>
  <c r="M62" i="5"/>
  <c r="N8" i="5"/>
  <c r="M85" i="5"/>
  <c r="M33" i="5"/>
  <c r="M81" i="5"/>
  <c r="N92" i="5"/>
  <c r="N79" i="5"/>
  <c r="M94" i="5"/>
  <c r="N82" i="5"/>
  <c r="M55" i="5"/>
  <c r="E18" i="5"/>
  <c r="N61" i="5"/>
  <c r="N90" i="5"/>
  <c r="M25" i="5"/>
  <c r="E4" i="5"/>
  <c r="M30" i="5"/>
  <c r="M11" i="5"/>
  <c r="E96" i="5"/>
  <c r="E87" i="5"/>
  <c r="N4" i="5"/>
  <c r="N89" i="5"/>
  <c r="N23" i="5"/>
  <c r="N93" i="5"/>
  <c r="E86" i="5"/>
  <c r="N95" i="5"/>
  <c r="E7" i="5"/>
  <c r="E32" i="5"/>
  <c r="M100" i="5"/>
  <c r="E97" i="5"/>
  <c r="E6" i="5"/>
  <c r="M5" i="5"/>
  <c r="M47" i="5"/>
  <c r="N37" i="5"/>
  <c r="E61" i="5"/>
  <c r="N10" i="5"/>
  <c r="N27" i="5"/>
  <c r="M35" i="5"/>
  <c r="M50" i="5"/>
  <c r="N28" i="5"/>
  <c r="N40" i="5"/>
  <c r="N7" i="5"/>
  <c r="E25" i="5"/>
  <c r="N81" i="5"/>
  <c r="M43" i="5"/>
  <c r="N22" i="5"/>
  <c r="E70" i="5"/>
  <c r="N99" i="5"/>
  <c r="E38" i="5"/>
  <c r="M89" i="5"/>
  <c r="M52" i="5"/>
  <c r="M40" i="5"/>
  <c r="M75" i="5"/>
  <c r="E5" i="5"/>
  <c r="N83" i="5"/>
  <c r="E22" i="5"/>
  <c r="N98" i="5"/>
  <c r="M49" i="5"/>
  <c r="M41" i="5"/>
  <c r="N97" i="5"/>
  <c r="N65" i="5"/>
  <c r="E10" i="5"/>
  <c r="M67" i="5"/>
  <c r="M34" i="5"/>
  <c r="E71" i="5"/>
  <c r="M19" i="5"/>
  <c r="N13" i="5"/>
  <c r="N70" i="5"/>
  <c r="E43" i="5"/>
  <c r="E78" i="5"/>
  <c r="N2" i="5"/>
  <c r="N29" i="5"/>
  <c r="N45" i="5"/>
  <c r="N56" i="5"/>
  <c r="M22" i="5"/>
  <c r="E60" i="5"/>
  <c r="E39" i="5"/>
  <c r="M12" i="5"/>
  <c r="N52" i="5"/>
  <c r="M8" i="5"/>
  <c r="E88" i="5"/>
  <c r="M17" i="5"/>
  <c r="E77" i="5"/>
  <c r="E31" i="5"/>
  <c r="E40" i="5"/>
  <c r="M93" i="5"/>
  <c r="N47" i="5"/>
  <c r="E56" i="5"/>
  <c r="N73" i="5"/>
  <c r="M70" i="5"/>
  <c r="E55" i="5"/>
  <c r="M21" i="5"/>
  <c r="E23" i="5"/>
  <c r="N63" i="5"/>
  <c r="N71" i="5"/>
  <c r="N20" i="5"/>
  <c r="M78" i="5"/>
  <c r="E54" i="5"/>
  <c r="M45" i="5"/>
  <c r="E81" i="5"/>
  <c r="E89" i="5"/>
  <c r="M76" i="5"/>
  <c r="M61" i="5"/>
  <c r="N14" i="5"/>
  <c r="M63" i="5"/>
  <c r="E84" i="5"/>
  <c r="N75" i="5"/>
  <c r="E75" i="5"/>
  <c r="N6" i="5"/>
  <c r="M20" i="5"/>
  <c r="E73" i="5"/>
  <c r="E67" i="5"/>
  <c r="N59" i="5"/>
  <c r="M36" i="5"/>
  <c r="M6" i="5"/>
  <c r="M87" i="5"/>
  <c r="E28" i="5"/>
  <c r="M98" i="5"/>
  <c r="N57" i="5"/>
  <c r="N36" i="5"/>
  <c r="E29" i="5"/>
  <c r="M48" i="5"/>
  <c r="M15" i="5"/>
  <c r="N49" i="5"/>
  <c r="M83" i="5"/>
  <c r="N33" i="5"/>
  <c r="M16" i="5"/>
  <c r="M54" i="5"/>
  <c r="N26" i="5"/>
  <c r="M13" i="5"/>
  <c r="M86" i="5"/>
  <c r="N53" i="5"/>
  <c r="E91" i="5"/>
  <c r="M91" i="5"/>
  <c r="M26" i="5"/>
  <c r="N78" i="5"/>
  <c r="N55" i="5"/>
  <c r="E8" i="5"/>
  <c r="N25" i="5"/>
  <c r="N34" i="5"/>
  <c r="E36" i="5"/>
  <c r="E9" i="5"/>
  <c r="E46" i="5"/>
  <c r="N66" i="5"/>
  <c r="M101" i="5"/>
  <c r="N67" i="5"/>
  <c r="N24" i="5"/>
  <c r="E79" i="5"/>
  <c r="N16" i="5"/>
  <c r="M65" i="5"/>
  <c r="E90" i="5"/>
  <c r="M80" i="5"/>
  <c r="N69" i="5"/>
  <c r="M31" i="5"/>
  <c r="E76" i="5"/>
  <c r="M79" i="5"/>
  <c r="M71" i="5"/>
  <c r="M53" i="5"/>
  <c r="M32" i="5"/>
  <c r="E3" i="5"/>
  <c r="E21" i="5"/>
  <c r="N41" i="5"/>
  <c r="E27" i="5"/>
  <c r="N11" i="5"/>
  <c r="E35" i="5"/>
  <c r="E37" i="5"/>
  <c r="E13" i="5"/>
  <c r="N31" i="5"/>
  <c r="E16" i="5"/>
  <c r="N96" i="5"/>
  <c r="M68" i="5"/>
  <c r="E62" i="5"/>
  <c r="N5" i="5"/>
  <c r="M82" i="5"/>
  <c r="E24" i="5"/>
  <c r="M99" i="5"/>
  <c r="M27" i="5"/>
  <c r="E58" i="5"/>
  <c r="M51" i="5"/>
  <c r="N15" i="5"/>
  <c r="M44" i="5"/>
  <c r="E95" i="5"/>
  <c r="M46" i="5"/>
  <c r="E82" i="5"/>
  <c r="E69" i="5"/>
  <c r="N72" i="5"/>
  <c r="N88" i="5"/>
  <c r="E19" i="5"/>
  <c r="N35" i="5"/>
  <c r="N84" i="5"/>
  <c r="N17" i="5"/>
  <c r="M84" i="5"/>
  <c r="N9" i="5"/>
  <c r="E59" i="5"/>
  <c r="N48" i="5"/>
  <c r="M10" i="5"/>
  <c r="M39" i="5"/>
  <c r="M64" i="5"/>
  <c r="M88" i="5"/>
  <c r="E51" i="5"/>
  <c r="E41" i="5"/>
  <c r="E20" i="5"/>
  <c r="E94" i="5"/>
  <c r="N87" i="5"/>
  <c r="M97" i="5"/>
  <c r="M74" i="5"/>
  <c r="M92" i="5"/>
  <c r="E33" i="5"/>
  <c r="M77" i="5"/>
  <c r="N100" i="5"/>
  <c r="N46" i="5"/>
  <c r="N39" i="5"/>
  <c r="M60" i="5"/>
  <c r="M72" i="5"/>
  <c r="E2" i="5"/>
  <c r="E93" i="5"/>
  <c r="N62" i="5"/>
  <c r="E92" i="5"/>
  <c r="M18" i="5"/>
  <c r="E11" i="5"/>
  <c r="N51" i="5"/>
  <c r="N54" i="5"/>
  <c r="E12" i="5"/>
  <c r="M38" i="5"/>
  <c r="E17" i="5"/>
  <c r="N86" i="5"/>
  <c r="N42" i="5"/>
  <c r="E57" i="5"/>
  <c r="E14" i="5"/>
  <c r="N30" i="5"/>
  <c r="M42" i="5"/>
  <c r="E64" i="5"/>
  <c r="M95" i="5"/>
  <c r="N19" i="5"/>
  <c r="N91" i="5"/>
  <c r="M2" i="5"/>
  <c r="E98" i="5"/>
  <c r="N44" i="5"/>
  <c r="M24" i="5"/>
  <c r="N58" i="5"/>
  <c r="E72" i="5"/>
  <c r="E83" i="5"/>
  <c r="M69" i="5"/>
  <c r="N74" i="5"/>
  <c r="E53" i="5"/>
  <c r="E44" i="5"/>
  <c r="M14" i="5"/>
  <c r="N60" i="5"/>
  <c r="E65" i="5"/>
  <c r="N50" i="5"/>
  <c r="E42" i="5"/>
  <c r="N43" i="5"/>
  <c r="M37" i="5"/>
  <c r="E50" i="5"/>
  <c r="E45" i="5"/>
  <c r="E48" i="5"/>
  <c r="M9" i="5"/>
  <c r="N94" i="5"/>
  <c r="N76" i="5"/>
  <c r="M59" i="5"/>
  <c r="N38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48" i="5"/>
  <c r="J57" i="5"/>
  <c r="J39" i="5"/>
  <c r="L43" i="5"/>
  <c r="J45" i="5"/>
  <c r="J52" i="5"/>
  <c r="L63" i="5"/>
  <c r="J50" i="5"/>
  <c r="L17" i="5"/>
  <c r="L54" i="5"/>
  <c r="L70" i="5"/>
  <c r="L13" i="5"/>
  <c r="L92" i="5"/>
  <c r="L68" i="5"/>
  <c r="L100" i="5"/>
  <c r="L46" i="5"/>
  <c r="J89" i="5"/>
  <c r="L98" i="5"/>
  <c r="L26" i="5"/>
  <c r="L40" i="5"/>
  <c r="J95" i="5"/>
  <c r="J35" i="5"/>
  <c r="J51" i="5"/>
  <c r="L5" i="5"/>
  <c r="J14" i="5"/>
  <c r="J92" i="5"/>
  <c r="L96" i="5"/>
  <c r="J20" i="5"/>
  <c r="J11" i="5"/>
  <c r="L65" i="5"/>
  <c r="L47" i="5"/>
  <c r="L74" i="5"/>
  <c r="L86" i="5"/>
  <c r="L58" i="5"/>
  <c r="L37" i="5"/>
  <c r="J91" i="5"/>
  <c r="L80" i="5"/>
  <c r="J79" i="5"/>
  <c r="L20" i="5"/>
  <c r="J13" i="5"/>
  <c r="L51" i="5"/>
  <c r="J27" i="5"/>
  <c r="J33" i="5"/>
  <c r="L10" i="5"/>
  <c r="J21" i="5"/>
  <c r="J23" i="5"/>
  <c r="J64" i="5"/>
  <c r="L66" i="5"/>
  <c r="J8" i="5"/>
  <c r="J34" i="5"/>
  <c r="J32" i="5"/>
  <c r="L7" i="5"/>
  <c r="L9" i="5"/>
  <c r="J49" i="5"/>
  <c r="L84" i="5"/>
  <c r="L88" i="5"/>
  <c r="L29" i="5"/>
  <c r="J10" i="5"/>
  <c r="J63" i="5"/>
  <c r="L87" i="5"/>
  <c r="L73" i="5"/>
  <c r="J84" i="5"/>
  <c r="J69" i="5"/>
  <c r="J31" i="5"/>
  <c r="L101" i="5"/>
  <c r="J70" i="5"/>
  <c r="J55" i="5"/>
  <c r="L42" i="5"/>
  <c r="J42" i="5"/>
  <c r="J87" i="5"/>
  <c r="J37" i="5"/>
  <c r="L24" i="5"/>
  <c r="L31" i="5"/>
  <c r="L60" i="5"/>
  <c r="J101" i="5"/>
  <c r="L18" i="5"/>
  <c r="L57" i="5"/>
  <c r="J47" i="5"/>
  <c r="J74" i="5"/>
  <c r="J60" i="5"/>
  <c r="L97" i="5"/>
  <c r="L28" i="5"/>
  <c r="L64" i="5"/>
  <c r="L14" i="5"/>
  <c r="L85" i="5"/>
  <c r="J30" i="5"/>
  <c r="L32" i="5"/>
  <c r="L99" i="5"/>
  <c r="J7" i="5"/>
  <c r="J90" i="5"/>
  <c r="J65" i="5"/>
  <c r="J66" i="5"/>
  <c r="J25" i="5"/>
  <c r="L27" i="5"/>
  <c r="L33" i="5"/>
  <c r="J86" i="5"/>
  <c r="L93" i="5"/>
  <c r="L91" i="5"/>
  <c r="J19" i="5"/>
  <c r="J9" i="5"/>
  <c r="J43" i="5"/>
  <c r="L8" i="5"/>
  <c r="J22" i="5"/>
  <c r="J36" i="5"/>
  <c r="L23" i="5"/>
  <c r="J15" i="5"/>
  <c r="L82" i="5"/>
  <c r="L2" i="5"/>
  <c r="J98" i="5"/>
  <c r="J61" i="5"/>
  <c r="J68" i="5"/>
  <c r="L95" i="5"/>
  <c r="L22" i="5"/>
  <c r="L19" i="5"/>
  <c r="L75" i="5"/>
  <c r="J96" i="5"/>
  <c r="J41" i="5"/>
  <c r="J94" i="5"/>
  <c r="J73" i="5"/>
  <c r="L67" i="5"/>
  <c r="J62" i="5"/>
  <c r="L21" i="5"/>
  <c r="L38" i="5"/>
  <c r="J100" i="5"/>
  <c r="L39" i="5"/>
  <c r="J6" i="5"/>
  <c r="J99" i="5"/>
  <c r="J97" i="5"/>
  <c r="L81" i="5"/>
  <c r="J4" i="5"/>
  <c r="J2" i="5"/>
  <c r="J29" i="5"/>
  <c r="L55" i="5"/>
  <c r="J85" i="5"/>
  <c r="J46" i="5"/>
  <c r="L30" i="5"/>
  <c r="J88" i="5"/>
  <c r="L25" i="5"/>
  <c r="J26" i="5"/>
  <c r="J17" i="5"/>
  <c r="L49" i="5"/>
  <c r="L44" i="5"/>
  <c r="J82" i="5"/>
  <c r="L35" i="5"/>
  <c r="J75" i="5"/>
  <c r="L83" i="5"/>
  <c r="L41" i="5"/>
  <c r="L36" i="5"/>
  <c r="L16" i="5"/>
  <c r="L45" i="5"/>
  <c r="J56" i="5"/>
  <c r="L12" i="5"/>
  <c r="L59" i="5"/>
  <c r="J5" i="5"/>
  <c r="L34" i="5"/>
  <c r="J38" i="5"/>
  <c r="L6" i="5"/>
  <c r="J67" i="5"/>
  <c r="L50" i="5"/>
  <c r="L94" i="5"/>
  <c r="L90" i="5"/>
  <c r="J71" i="5"/>
  <c r="J77" i="5"/>
  <c r="J3" i="5"/>
  <c r="L56" i="5"/>
  <c r="L69" i="5"/>
  <c r="J53" i="5"/>
  <c r="L4" i="5"/>
  <c r="L77" i="5"/>
  <c r="L53" i="5"/>
  <c r="L76" i="5"/>
  <c r="J78" i="5"/>
  <c r="L48" i="5"/>
  <c r="J72" i="5"/>
  <c r="J16" i="5"/>
  <c r="L79" i="5"/>
  <c r="J59" i="5"/>
  <c r="L3" i="5"/>
  <c r="L52" i="5"/>
  <c r="J54" i="5"/>
  <c r="J12" i="5"/>
  <c r="L72" i="5"/>
  <c r="J93" i="5"/>
  <c r="L62" i="5"/>
  <c r="L71" i="5"/>
  <c r="L61" i="5"/>
  <c r="J83" i="5"/>
  <c r="J81" i="5"/>
  <c r="J18" i="5"/>
  <c r="L15" i="5"/>
  <c r="J80" i="5"/>
  <c r="J76" i="5"/>
  <c r="J28" i="5"/>
  <c r="J24" i="5"/>
  <c r="J58" i="5"/>
  <c r="L89" i="5"/>
  <c r="J44" i="5"/>
  <c r="J40" i="5"/>
  <c r="L11" i="5"/>
  <c r="L78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31" i="5"/>
  <c r="K69" i="5"/>
  <c r="K91" i="5"/>
  <c r="K6" i="5"/>
  <c r="K10" i="5"/>
  <c r="K18" i="5"/>
  <c r="K2" i="5"/>
  <c r="K38" i="5"/>
  <c r="K27" i="5"/>
  <c r="K52" i="5"/>
  <c r="K40" i="5"/>
  <c r="K50" i="5"/>
  <c r="K9" i="5"/>
  <c r="K59" i="5"/>
  <c r="K11" i="5"/>
  <c r="K92" i="5"/>
  <c r="K71" i="5"/>
  <c r="K12" i="5"/>
  <c r="K95" i="5"/>
  <c r="K99" i="5"/>
  <c r="K33" i="5"/>
  <c r="K66" i="5"/>
  <c r="K83" i="5"/>
  <c r="K65" i="5"/>
  <c r="K77" i="5"/>
  <c r="K63" i="5"/>
  <c r="K42" i="5"/>
  <c r="K34" i="5"/>
  <c r="K84" i="5"/>
  <c r="K86" i="5"/>
  <c r="K82" i="5"/>
  <c r="K97" i="5"/>
  <c r="K96" i="5"/>
  <c r="K51" i="5"/>
  <c r="K5" i="5"/>
  <c r="K36" i="5"/>
  <c r="K79" i="5"/>
  <c r="K67" i="5"/>
  <c r="K54" i="5"/>
  <c r="K48" i="5"/>
  <c r="K100" i="5"/>
  <c r="K57" i="5"/>
  <c r="K62" i="5"/>
  <c r="K75" i="5"/>
  <c r="K87" i="5"/>
  <c r="K8" i="5"/>
  <c r="K35" i="5"/>
  <c r="K76" i="5"/>
  <c r="K14" i="5"/>
  <c r="K98" i="5"/>
  <c r="K4" i="5"/>
  <c r="K20" i="5"/>
  <c r="K3" i="5"/>
  <c r="K58" i="5"/>
  <c r="K61" i="5"/>
  <c r="K15" i="5"/>
  <c r="K23" i="5"/>
  <c r="K13" i="5"/>
  <c r="K72" i="5"/>
  <c r="K25" i="5"/>
  <c r="K26" i="5"/>
  <c r="K56" i="5"/>
  <c r="K90" i="5"/>
  <c r="K7" i="5"/>
  <c r="K74" i="5"/>
  <c r="K39" i="5"/>
  <c r="K16" i="5"/>
  <c r="K19" i="5"/>
  <c r="K46" i="5"/>
  <c r="K28" i="5"/>
  <c r="K44" i="5"/>
  <c r="K22" i="5"/>
  <c r="K89" i="5"/>
  <c r="K47" i="5"/>
  <c r="K32" i="5"/>
  <c r="K101" i="5"/>
  <c r="K94" i="5"/>
  <c r="K53" i="5"/>
  <c r="K49" i="5"/>
  <c r="K29" i="5"/>
  <c r="K68" i="5"/>
  <c r="K64" i="5"/>
  <c r="K60" i="5"/>
  <c r="K37" i="5"/>
  <c r="K78" i="5"/>
  <c r="K70" i="5"/>
  <c r="K24" i="5"/>
  <c r="K21" i="5"/>
  <c r="K45" i="5"/>
  <c r="K73" i="5"/>
  <c r="K93" i="5"/>
  <c r="K80" i="5"/>
  <c r="K55" i="5"/>
  <c r="K41" i="5"/>
  <c r="K85" i="5"/>
  <c r="K81" i="5"/>
  <c r="K17" i="5"/>
  <c r="K88" i="5"/>
  <c r="K30" i="5"/>
  <c r="K43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90" i="5"/>
  <c r="I47" i="5"/>
  <c r="I4" i="5"/>
  <c r="I81" i="5"/>
  <c r="I34" i="5"/>
  <c r="I16" i="5"/>
  <c r="I73" i="5"/>
  <c r="I3" i="5"/>
  <c r="I32" i="5"/>
  <c r="I99" i="5"/>
  <c r="I67" i="5"/>
  <c r="I33" i="5"/>
  <c r="I18" i="5"/>
  <c r="I27" i="5"/>
  <c r="I66" i="5"/>
  <c r="I5" i="5"/>
  <c r="I59" i="5"/>
  <c r="I75" i="5"/>
  <c r="I57" i="5"/>
  <c r="I41" i="5"/>
  <c r="I96" i="5"/>
  <c r="I15" i="5"/>
  <c r="I9" i="5"/>
  <c r="I95" i="5"/>
  <c r="I97" i="5"/>
  <c r="I56" i="5"/>
  <c r="I22" i="5"/>
  <c r="I31" i="5"/>
  <c r="I70" i="5"/>
  <c r="I26" i="5"/>
  <c r="I38" i="5"/>
  <c r="I43" i="5"/>
  <c r="I71" i="5"/>
  <c r="I65" i="5"/>
  <c r="I64" i="5"/>
  <c r="I68" i="5"/>
  <c r="I8" i="5"/>
  <c r="I52" i="5"/>
  <c r="I58" i="5"/>
  <c r="I45" i="5"/>
  <c r="I11" i="5"/>
  <c r="I86" i="5"/>
  <c r="I74" i="5"/>
  <c r="I61" i="5"/>
  <c r="I17" i="5"/>
  <c r="I82" i="5"/>
  <c r="I83" i="5"/>
  <c r="I89" i="5"/>
  <c r="I101" i="5"/>
  <c r="I79" i="5"/>
  <c r="I63" i="5"/>
  <c r="I35" i="5"/>
  <c r="I85" i="5"/>
  <c r="I69" i="5"/>
  <c r="I94" i="5"/>
  <c r="I91" i="5"/>
  <c r="I23" i="5"/>
  <c r="I80" i="5"/>
  <c r="I50" i="5"/>
  <c r="I93" i="5"/>
  <c r="I29" i="5"/>
  <c r="I14" i="5"/>
  <c r="I48" i="5"/>
  <c r="I53" i="5"/>
  <c r="I37" i="5"/>
  <c r="I60" i="5"/>
  <c r="I87" i="5"/>
  <c r="I92" i="5"/>
  <c r="I10" i="5"/>
  <c r="I6" i="5"/>
  <c r="I36" i="5"/>
  <c r="I19" i="5"/>
  <c r="I76" i="5"/>
  <c r="I100" i="5"/>
  <c r="I98" i="5"/>
  <c r="I44" i="5"/>
  <c r="I21" i="5"/>
  <c r="I78" i="5"/>
  <c r="I51" i="5"/>
  <c r="I40" i="5"/>
  <c r="I84" i="5"/>
  <c r="I2" i="5"/>
  <c r="I55" i="5"/>
  <c r="I30" i="5"/>
  <c r="I39" i="5"/>
  <c r="I49" i="5"/>
  <c r="I25" i="5"/>
  <c r="I20" i="5"/>
  <c r="I77" i="5"/>
  <c r="I13" i="5"/>
  <c r="I28" i="5"/>
  <c r="I42" i="5"/>
  <c r="I72" i="5"/>
  <c r="I88" i="5"/>
  <c r="I7" i="5"/>
  <c r="I54" i="5"/>
  <c r="I12" i="5"/>
  <c r="I62" i="5"/>
  <c r="I46" i="5"/>
  <c r="I24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13" i="5"/>
  <c r="F68" i="5"/>
  <c r="F30" i="5"/>
  <c r="F4" i="5"/>
  <c r="F71" i="5"/>
  <c r="F8" i="5"/>
  <c r="F7" i="5"/>
  <c r="F44" i="5"/>
  <c r="F19" i="5"/>
  <c r="F62" i="5"/>
  <c r="F95" i="5"/>
  <c r="F59" i="5"/>
  <c r="F94" i="5"/>
  <c r="F2" i="5"/>
  <c r="F84" i="5"/>
  <c r="F14" i="5"/>
  <c r="F70" i="5"/>
  <c r="F57" i="5"/>
  <c r="F89" i="5"/>
  <c r="F87" i="5"/>
  <c r="F6" i="5"/>
  <c r="F96" i="5"/>
  <c r="F67" i="5"/>
  <c r="F81" i="5"/>
  <c r="F97" i="5"/>
  <c r="F61" i="5"/>
  <c r="F58" i="5"/>
  <c r="F42" i="5"/>
  <c r="F63" i="5"/>
  <c r="F54" i="5"/>
  <c r="F27" i="5"/>
  <c r="F18" i="5"/>
  <c r="F49" i="5"/>
  <c r="F10" i="5"/>
  <c r="F5" i="5"/>
  <c r="F52" i="5"/>
  <c r="F74" i="5"/>
  <c r="F82" i="5"/>
  <c r="F69" i="5"/>
  <c r="F31" i="5"/>
  <c r="F34" i="5"/>
  <c r="F51" i="5"/>
  <c r="F15" i="5"/>
  <c r="F21" i="5"/>
  <c r="F25" i="5"/>
  <c r="F16" i="5"/>
  <c r="F37" i="5"/>
  <c r="F9" i="5"/>
  <c r="F73" i="5"/>
  <c r="F98" i="5"/>
  <c r="F60" i="5"/>
  <c r="F26" i="5"/>
  <c r="F101" i="5"/>
  <c r="F33" i="5"/>
  <c r="F40" i="5"/>
  <c r="F41" i="5"/>
  <c r="F80" i="5"/>
  <c r="F99" i="5"/>
  <c r="F76" i="5"/>
  <c r="F24" i="5"/>
  <c r="F93" i="5"/>
  <c r="F48" i="5"/>
  <c r="F55" i="5"/>
  <c r="F22" i="5"/>
  <c r="F72" i="5"/>
  <c r="F91" i="5"/>
  <c r="F43" i="5"/>
  <c r="F88" i="5"/>
  <c r="F47" i="5"/>
  <c r="F86" i="5"/>
  <c r="F53" i="5"/>
  <c r="F46" i="5"/>
  <c r="F32" i="5"/>
  <c r="F35" i="5"/>
  <c r="F64" i="5"/>
  <c r="F66" i="5"/>
  <c r="F85" i="5"/>
  <c r="F56" i="5"/>
  <c r="F77" i="5"/>
  <c r="F3" i="5"/>
  <c r="F50" i="5"/>
  <c r="F79" i="5"/>
  <c r="F100" i="5"/>
  <c r="F20" i="5"/>
  <c r="F12" i="5"/>
  <c r="F29" i="5"/>
  <c r="F36" i="5"/>
  <c r="F38" i="5"/>
  <c r="F75" i="5"/>
  <c r="F90" i="5"/>
  <c r="F17" i="5"/>
  <c r="F28" i="5"/>
  <c r="F45" i="5"/>
  <c r="F11" i="5"/>
  <c r="F65" i="5"/>
  <c r="F92" i="5"/>
  <c r="F78" i="5"/>
  <c r="F23" i="5"/>
  <c r="F83" i="5"/>
  <c r="F39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56" i="5"/>
  <c r="H52" i="5"/>
  <c r="H98" i="5"/>
  <c r="H23" i="5"/>
  <c r="H43" i="5"/>
  <c r="H83" i="5"/>
  <c r="H94" i="5"/>
  <c r="H82" i="5"/>
  <c r="H55" i="5"/>
  <c r="H99" i="5"/>
  <c r="H49" i="5"/>
  <c r="H100" i="5"/>
  <c r="H73" i="5"/>
  <c r="H24" i="5"/>
  <c r="H4" i="5"/>
  <c r="H77" i="5"/>
  <c r="H86" i="5"/>
  <c r="H10" i="5"/>
  <c r="H31" i="5"/>
  <c r="H34" i="5"/>
  <c r="H14" i="5"/>
  <c r="H51" i="5"/>
  <c r="H9" i="5"/>
  <c r="H58" i="5"/>
  <c r="H37" i="5"/>
  <c r="H93" i="5"/>
  <c r="H50" i="5"/>
  <c r="H2" i="5"/>
  <c r="H91" i="5"/>
  <c r="H22" i="5"/>
  <c r="H26" i="5"/>
  <c r="H68" i="5"/>
  <c r="H59" i="5"/>
  <c r="H46" i="5"/>
  <c r="H38" i="5"/>
  <c r="H12" i="5"/>
  <c r="H29" i="5"/>
  <c r="H92" i="5"/>
  <c r="H30" i="5"/>
  <c r="H97" i="5"/>
  <c r="H76" i="5"/>
  <c r="H40" i="5"/>
  <c r="H64" i="5"/>
  <c r="H11" i="5"/>
  <c r="H87" i="5"/>
  <c r="H60" i="5"/>
  <c r="H18" i="5"/>
  <c r="H48" i="5"/>
  <c r="H61" i="5"/>
  <c r="H84" i="5"/>
  <c r="H5" i="5"/>
  <c r="H3" i="5"/>
  <c r="H78" i="5"/>
  <c r="H70" i="5"/>
  <c r="H15" i="5"/>
  <c r="H74" i="5"/>
  <c r="H63" i="5"/>
  <c r="H20" i="5"/>
  <c r="H53" i="5"/>
  <c r="H21" i="5"/>
  <c r="H16" i="5"/>
  <c r="H62" i="5"/>
  <c r="H89" i="5"/>
  <c r="H88" i="5"/>
  <c r="H27" i="5"/>
  <c r="H85" i="5"/>
  <c r="H35" i="5"/>
  <c r="H44" i="5"/>
  <c r="H19" i="5"/>
  <c r="H101" i="5"/>
  <c r="H36" i="5"/>
  <c r="H69" i="5"/>
  <c r="H57" i="5"/>
  <c r="H25" i="5"/>
  <c r="H67" i="5"/>
  <c r="H65" i="5"/>
  <c r="H13" i="5"/>
  <c r="H47" i="5"/>
  <c r="H95" i="5"/>
  <c r="H90" i="5"/>
  <c r="H33" i="5"/>
  <c r="H72" i="5"/>
  <c r="H6" i="5"/>
  <c r="H54" i="5"/>
  <c r="H75" i="5"/>
  <c r="H45" i="5"/>
  <c r="H39" i="5"/>
  <c r="H8" i="5"/>
  <c r="H81" i="5"/>
  <c r="H32" i="5"/>
  <c r="H96" i="5"/>
  <c r="H28" i="5"/>
  <c r="H42" i="5"/>
  <c r="H17" i="5"/>
  <c r="H80" i="5"/>
  <c r="H71" i="5"/>
  <c r="H66" i="5"/>
  <c r="H79" i="5"/>
  <c r="H7" i="5"/>
  <c r="H41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<sst xmlns="http://schemas.openxmlformats.org/spreadsheetml/2006/main" count="452" uniqueCount="305">
  <si>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</si>
  <si>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</si>
  <si>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</si>
  <si>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</si>
  <si>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</si>
  <si>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</si>
  <si>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</si>
  <si>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</si>
  <si>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</si>
  <si>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</si>
  <si>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</si>
  <si>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</si>
  <si>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</si>
  <si>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</si>
  <si>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</si>
  <si>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</si>
  <si>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</si>
  <si>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</si>
  <si>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</si>
  <si>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</si>
  <si>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</si>
  <si>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</si>
  <si>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</si>
  <si>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</si>
  <si>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</si>
  <si>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</si>
  <si>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</si>
  <si>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</si>
  <si>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</si>
  <si>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</si>
  <si>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</si>
  <si>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</si>
  <si>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</si>
  <si>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</si>
  <si>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</si>
  <si>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</si>
  <si>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</si>
  <si>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</si>
  <si>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</si>
  <si>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</si>
  <si>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</si>
  <si>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</si>
  <si>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</si>
  <si>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</si>
  <si>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</si>
  <si>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</si>
  <si>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</si>
  <si>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</si>
  <si>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</si>
  <si>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</si>
  <si>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</si>
  <si>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</si>
  <si>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</si>
  <si>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</si>
  <si>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</si>
  <si>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</si>
  <si>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</si>
  <si>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</si>
  <si>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</si>
  <si>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</si>
  <si>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</si>
  <si>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</si>
  <si>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</si>
  <si>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</si>
  <si>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</si>
  <si>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</si>
  <si>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</si>
  <si>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</si>
  <si>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</si>
  <si>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</si>
  <si>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</si>
  <si>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</si>
  <si>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</si>
  <si>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</si>
  <si>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</si>
  <si>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</si>
  <si>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</si>
  <si>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</si>
  <si>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</si>
  <si>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</si>
  <si>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</si>
  <si>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</si>
  <si>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</si>
  <si>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</si>
  <si>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</si>
  <si>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</si>
  <si>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</si>
  <si>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</si>
  <si>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</si>
  <si>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</si>
  <si>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</si>
  <si>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</si>
  <si>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</si>
  <si>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</si>
  <si>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</si>
  <si>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</si>
  <si>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</si>
  <si>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</si>
  <si>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</si>
  <si>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</si>
  <si>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</si>
  <si>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</si>
  <si>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</si>
  <si>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</si>
  <si>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</si>
  <si>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</si>
  <si>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</si>
  <si>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</si>
  <si>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</si>
  <si>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</si>
  <si>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</si>
  <si>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</si>
  <si>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</si>
  <si>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</si>
  <si>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</si>
  <si>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</si>
  <si>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</si>
  <si>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</si>
  <si>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</si>
  <si>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</si>
  <si>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</si>
  <si>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</si>
  <si>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</si>
  <si>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</si>
  <si>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</si>
  <si>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</si>
  <si>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</si>
  <si>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</si>
  <si>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</si>
  <si>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</si>
  <si>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</si>
  <si>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</si>
  <si>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</si>
  <si>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</si>
  <si>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</si>
  <si>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</si>
  <si>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</si>
  <si>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</si>
  <si>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</si>
  <si>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</si>
  <si>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</si>
  <si>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</si>
  <si>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</si>
  <si>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</si>
  <si>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</si>
  <si>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</si>
  <si>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</si>
  <si>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</si>
  <si>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</si>
  <si>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</si>
  <si>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</si>
  <si>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</si>
  <si>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</si>
  <si>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</si>
  <si>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</si>
  <si>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</si>
  <si>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</si>
  <si>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</si>
  <si>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</si>
  <si>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</si>
  <si>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</si>
  <si>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</si>
  <si>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</si>
  <si>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</si>
  <si>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</si>
  <si>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</si>
  <si>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</si>
  <si>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</si>
  <si>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</si>
  <si>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</si>
  <si>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</si>
  <si>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</si>
  <si>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</si>
  <si>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</si>
  <si>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</si>
  <si>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</si>
  <si>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</si>
  <si>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</si>
  <si>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</si>
  <si>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</si>
  <si>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</si>
  <si>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</si>
  <si>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</si>
  <si>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</si>
  <si>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</si>
  <si>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</si>
  <si>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</si>
  <si>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</si>
  <si>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</si>
  <si>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</si>
  <si>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</si>
  <si>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</si>
  <si>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</si>
  <si>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</si>
  <si>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</si>
  <si>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</si>
  <si>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</si>
  <si>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</si>
  <si>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</si>
  <si>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</si>
  <si>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</si>
  <si>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</si>
  <si>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</si>
  <si>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</si>
  <si>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</si>
  <si>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</si>
  <si>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</si>
  <si>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</si>
  <si>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</si>
  <si>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</si>
  <si>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</si>
  <si>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</si>
  <si>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</si>
  <si>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</si>
  <si>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</si>
  <si>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</si>
  <si>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</si>
  <si>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</si>
  <si>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Planteamiento del Problema</t>
  </si>
  <si>
    <t>Objetivos</t>
  </si>
  <si>
    <t>Alcance</t>
  </si>
  <si>
    <t>Elaboracion Preguntas de Entrevista</t>
  </si>
  <si>
    <t>Entrevista a cliente</t>
  </si>
  <si>
    <t>Desarrollo de la introducción del PP</t>
  </si>
  <si>
    <t>Plantear los objetivos a cumplir</t>
  </si>
  <si>
    <t>Redactar el alcance de proyecto</t>
  </si>
  <si>
    <t>Plantear preguntas para la entrevista</t>
  </si>
  <si>
    <t>Ing. Jenny Ruiz</t>
  </si>
  <si>
    <t>Jelen Lucio</t>
  </si>
  <si>
    <t>Bryan Cevallos</t>
  </si>
  <si>
    <t>Leopoldo Bolaños</t>
  </si>
  <si>
    <t>Noe Cahuatijo</t>
  </si>
  <si>
    <t>Lucio, Cevallos, Bolaños, Cahuatijo</t>
  </si>
  <si>
    <t>Matriz de Posibles Usuarios</t>
  </si>
  <si>
    <t>Desarrollo de matriz que abarca posibles usuarios</t>
  </si>
  <si>
    <t>Metodología</t>
  </si>
  <si>
    <t>Viabilidad</t>
  </si>
  <si>
    <t>Matriz de HU 1</t>
  </si>
  <si>
    <t>Entrevista 2 con el Usuario</t>
  </si>
  <si>
    <t>Matriz de HU 2</t>
  </si>
  <si>
    <t>Ideas a Defender</t>
  </si>
  <si>
    <t>Resultados Esperados</t>
  </si>
  <si>
    <t>Desarrollo del REQ001</t>
  </si>
  <si>
    <t>Desarrollo del REQ002</t>
  </si>
  <si>
    <t>Desarrollo del REQ003</t>
  </si>
  <si>
    <t>Desarrollo del REQ004</t>
  </si>
  <si>
    <t>Matriz de HU 3</t>
  </si>
  <si>
    <t>Matriz de HU 4</t>
  </si>
  <si>
    <t>Elaboración de la introduccion</t>
  </si>
  <si>
    <t>Plantear el problema del proyecto</t>
  </si>
  <si>
    <t>Realizar una corta entrevista al cliente</t>
  </si>
  <si>
    <t>Redactar la metodologia usada en el proyecto</t>
  </si>
  <si>
    <t>Evaluar la viabilidad el Proyecto</t>
  </si>
  <si>
    <t>Elaboracion de la primera versión de HU</t>
  </si>
  <si>
    <t>Realizar la segunda entrevista al cliente</t>
  </si>
  <si>
    <t>Elaboracion de la segunda version de HU</t>
  </si>
  <si>
    <t>Plantear las ideas a defender del proyecto</t>
  </si>
  <si>
    <t>Plantear los Resultados Esperado</t>
  </si>
  <si>
    <t>REQ001: Inicio de sesión seguro</t>
  </si>
  <si>
    <t>REQ002: Ingreso y validacion de productos</t>
  </si>
  <si>
    <t>REQ003: Catálogo y Estados</t>
  </si>
  <si>
    <t>REQ004: Categorización de productos</t>
  </si>
  <si>
    <t>17/12/025</t>
  </si>
  <si>
    <t>Revisión de Backlog Sprint1</t>
  </si>
  <si>
    <t>Matriz de HU 5</t>
  </si>
  <si>
    <t>Revisión de caja negra y caja blanca Sprint1, Sprint2</t>
  </si>
  <si>
    <t xml:space="preserve">Revisión de  Sprint1, Sprint2 , Sprint3 y Sprint4 </t>
  </si>
  <si>
    <t>Presentación de proyectos con funcionalidad SPRINT1,2,3y4</t>
  </si>
  <si>
    <t>Revisión de presentación de proyectos con funcionalidad SPRINT1,2,3y 4</t>
  </si>
  <si>
    <t>REQ005: Registro de salidas con motivos</t>
  </si>
  <si>
    <t>REQ006: Generación de reportes PDF/Excel</t>
  </si>
  <si>
    <t>REQ007: Historial de movimientos de inventario</t>
  </si>
  <si>
    <t>REQ008: Gestión de Usuarios y Accesos</t>
  </si>
  <si>
    <t>REQ009: Directorio de Proveedores</t>
  </si>
  <si>
    <t>REQ010: Gestión de Clientes</t>
  </si>
  <si>
    <t>REQ011: Interfaz de Punto de Venta</t>
  </si>
  <si>
    <t>REQ012: Emisión de Comprobantes</t>
  </si>
  <si>
    <t>REQ013: Cierre de Caja Diario</t>
  </si>
  <si>
    <t>REQ014: Gestión de Compras</t>
  </si>
  <si>
    <t>REQ015: Módulo de Cuentas por Cobrar</t>
  </si>
  <si>
    <t>REQ016: Dashboard y Analítica</t>
  </si>
  <si>
    <t>REQ017: Configuración del Sistema</t>
  </si>
  <si>
    <t>Desarrollo del REQ005</t>
  </si>
  <si>
    <t>Desarrollo del REQ006</t>
  </si>
  <si>
    <t>Desarrollo del REQ007</t>
  </si>
  <si>
    <t>Desarrollo del REQ008</t>
  </si>
  <si>
    <t>Desarrollo del REQ009</t>
  </si>
  <si>
    <t>Desarrollo del REQ010</t>
  </si>
  <si>
    <t>Desarrollo del REQ011</t>
  </si>
  <si>
    <t>Desarrollo del REQ014</t>
  </si>
  <si>
    <t>Desarrollo del REQ012</t>
  </si>
  <si>
    <t>Desarrollo del REQ013</t>
  </si>
  <si>
    <t>Desarrollo del REQ015</t>
  </si>
  <si>
    <t>Desarrollo del REQ016</t>
  </si>
  <si>
    <t>Desarrollo del REQ017</t>
  </si>
  <si>
    <t>Elaboracion de la tercera version de HU</t>
  </si>
  <si>
    <t>Elaboracion de la cuarta version de HU</t>
  </si>
  <si>
    <t>Elaboracion de la quinta version de HU</t>
  </si>
  <si>
    <t>Revision del Backlog en el Sprint 1</t>
  </si>
  <si>
    <t>Revisión de Backlog Sprint2</t>
  </si>
  <si>
    <t>Revision del Backlog en el Sprint 2</t>
  </si>
  <si>
    <t>Revision de la documentacion de los Sprints</t>
  </si>
  <si>
    <t>Revision de todos los Sprints</t>
  </si>
  <si>
    <t>Revision de la funcionalidad de los Sprints</t>
  </si>
  <si>
    <t>Defensa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</si>
</sst>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0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 tint="0.2499465926084170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4" fontId="19" fillId="0" borderId="0" applyFill="0" applyBorder="0">
      <alignment horizontal="right"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3">
    <cellStyle name="Fecha" xfId="2" xr:uid="{F14D9754-154B-4E6C-B302-46C0BB38A024}"/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zoomScale="110" zoomScaleNormal="110" workbookViewId="0">
      <pane ySplit="4" topLeftCell="A5" activePane="bottomLeft" state="frozen"/>
      <selection pane="bottomLeft" activeCell="M11" sqref="M11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1" style="2" hidden="1"/>
  </cols>
  <sheetData>
    <row r="1" spans="2:51" ht="15" thickBot="1" x14ac:dyDescent="0.35"/>
    <row r="2" spans="2:51" ht="15" thickBot="1" x14ac:dyDescent="0.35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41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41)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(10 de 41)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41)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(30 de 41)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(1 de 41)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41)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41)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41)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41)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41)</v>
      </c>
      <c r="AW4" s="115"/>
      <c r="AX4" s="115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40:</v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Revisión de presentación de proyectos con funcionalidad SPRINT1,2,3y 4</v>
      </c>
      <c r="J6" s="113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30: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Revisión de caja negra y caja blanca Sprint1, Sprint2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>Tarea 84:</v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>Resultados de las pruebas finales Stakeholder de desarrollo 
y de la organizaciòn</v>
      </c>
      <c r="Y6" s="113" t="e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>#VALUE!</v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Defensa del proyecto</v>
      </c>
      <c r="J7" s="113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Revision de la documentacion de los Sprints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>Descripción:</v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 xml:space="preserve">Realizar el Informe de Resultados de 
las pruebas finales </v>
      </c>
      <c r="Y7" s="113" t="e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>#VALUE!</v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3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46035</v>
      </c>
      <c r="J8" s="113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46027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>Inicio:</v>
      </c>
      <c r="X8" s="113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>45687</v>
      </c>
      <c r="Y8" s="113" t="e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>#VALUE!</v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3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46038</v>
      </c>
      <c r="J9" s="113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46034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>Previsto:</v>
      </c>
      <c r="X9" s="113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>45687</v>
      </c>
      <c r="Y9" s="113" t="e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>#VALUE!</v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3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46038</v>
      </c>
      <c r="J10" s="113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46034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>Final:</v>
      </c>
      <c r="X10" s="113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>45687</v>
      </c>
      <c r="Y10" s="113" t="e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>#VALUE!</v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4 días</v>
      </c>
      <c r="J11" s="113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8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>Duración:</v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>1 días</v>
      </c>
      <c r="Y11" s="113" t="e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>#VALUE!</v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3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>Retraso:</v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>0 días</v>
      </c>
      <c r="Y12" s="113" t="e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>#VALUE!</v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Lucio, Cevallos, Bolaños, Cahuatijo</v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Ing. Jenny Ruiz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>Asignado:</v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>Ruben Arroyo</v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39:</v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Presentación de proyectos con funcionalidad SPRINT1,2,3y4</v>
      </c>
      <c r="J15" s="113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29: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Matriz de HU 5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Revision de la funcionalidad de los Sprints</v>
      </c>
      <c r="J16" s="113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Elaboracion de la quinta version de HU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3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46035</v>
      </c>
      <c r="J17" s="113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46027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3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46038</v>
      </c>
      <c r="J18" s="113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46034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3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46038</v>
      </c>
      <c r="J19" s="113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46034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4 días</v>
      </c>
      <c r="J20" s="113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8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3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Ing. Jenny Ruiz</v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Jelen Lucio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38:</v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 xml:space="preserve">Revisión de  Sprint1, Sprint2 , Sprint3 y Sprint4 </v>
      </c>
      <c r="J24" s="113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28: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Revisión de Backlog Sprint2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Revision de todos los Sprints</v>
      </c>
      <c r="J25" s="113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Revision del Backlog en el Sprint 2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3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46035</v>
      </c>
      <c r="J26" s="113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46027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3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46038</v>
      </c>
      <c r="J27" s="113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46034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3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46038</v>
      </c>
      <c r="J28" s="113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46034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4 días</v>
      </c>
      <c r="J29" s="113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8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3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Ing. Jenny Ruiz</v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Ing. Jenny Ruiz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37:</v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REQ017: Configuración del Sistema</v>
      </c>
      <c r="J33" s="113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27: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Matriz de HU 4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Desarrollo del REQ017</v>
      </c>
      <c r="J34" s="113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Elaboracion de la cuarta version de HU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13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46027</v>
      </c>
      <c r="J35" s="113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46011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13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46034</v>
      </c>
      <c r="J36" s="113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46019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13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46034</v>
      </c>
      <c r="J37" s="113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46019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8 días</v>
      </c>
      <c r="J38" s="113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9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0 días</v>
      </c>
      <c r="J39" s="113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Leopoldo Bolaños</v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Bryan Cevallos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36:</v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REQ016: Dashboard y Analítica</v>
      </c>
      <c r="J42" s="113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26: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REQ010: Gestión de Clientes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Desarrollo del REQ016</v>
      </c>
      <c r="J43" s="113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Desarrollo del REQ010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13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46027</v>
      </c>
      <c r="J44" s="113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46011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13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46034</v>
      </c>
      <c r="J45" s="113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46019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13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46034</v>
      </c>
      <c r="J46" s="113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46019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8 días</v>
      </c>
      <c r="J47" s="113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9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0 días</v>
      </c>
      <c r="J48" s="113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Jelen Lucio</v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Noe Cahuatijo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e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35:</v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REQ015: Módulo de Cuentas por Cobrar</v>
      </c>
      <c r="J51" s="113" t="e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25: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REQ009: Directorio de Proveedores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Desarrollo del REQ015</v>
      </c>
      <c r="J52" s="113" t="e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Desarrollo del REQ009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13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46027</v>
      </c>
      <c r="J53" s="113" t="e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46011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13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46034</v>
      </c>
      <c r="J54" s="113" t="e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46019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13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46034</v>
      </c>
      <c r="J55" s="113" t="e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46019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>8 días</v>
      </c>
      <c r="J56" s="113" t="e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9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>0 días</v>
      </c>
      <c r="J57" s="113" t="e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Noe Cahuatijo</v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Jelen Lucio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e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>#VALUE!</v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>Tarea 34:</v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>REQ014: Gestión de Compras</v>
      </c>
      <c r="J60" s="113" t="e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>#VALUE!</v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24: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REQ008: Gestión de Usuarios y Accesos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>Descripción:</v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>Desarrollo del REQ014</v>
      </c>
      <c r="J61" s="113" t="e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>#VALUE!</v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Desarrollo del REQ008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>Inicio:</v>
      </c>
      <c r="I62" s="113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>46027</v>
      </c>
      <c r="J62" s="113" t="e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>#VALUE!</v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46011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>Previsto:</v>
      </c>
      <c r="I63" s="113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>46034</v>
      </c>
      <c r="J63" s="113" t="e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>#VALUE!</v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46019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>Final:</v>
      </c>
      <c r="I64" s="113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>46034</v>
      </c>
      <c r="J64" s="113" t="e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>#VALUE!</v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46019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>Duración:</v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>8 días</v>
      </c>
      <c r="J65" s="113" t="e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>#VALUE!</v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9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>Retraso:</v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>0 días</v>
      </c>
      <c r="J66" s="113" t="e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>#VALUE!</v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>Asignado:</v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>Bryan Cevallos</v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Bryan Cevallos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e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>#VALUE!</v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>Tarea 33:</v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>REQ013: Cierre de Caja Diario</v>
      </c>
      <c r="J69" s="113" t="e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>#VALUE!</v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23: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REQ007: Historial de movimientos de inventario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>Descripción:</v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>Desarrollo del REQ013</v>
      </c>
      <c r="J70" s="113" t="e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>#VALUE!</v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Desarrollo del REQ007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>Inicio:</v>
      </c>
      <c r="I71" s="113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>46027</v>
      </c>
      <c r="J71" s="113" t="e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>#VALUE!</v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46011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>Previsto:</v>
      </c>
      <c r="I72" s="113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>46034</v>
      </c>
      <c r="J72" s="113" t="e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>#VALUE!</v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46019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>Final:</v>
      </c>
      <c r="I73" s="113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>46034</v>
      </c>
      <c r="J73" s="113" t="e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>#VALUE!</v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46019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>Duración:</v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>8 días</v>
      </c>
      <c r="J74" s="113" t="e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>#VALUE!</v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9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>Retraso:</v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>0 días</v>
      </c>
      <c r="J75" s="113" t="e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>#VALUE!</v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>Asignado:</v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>Leopoldo Bolaños</v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Leopoldo Bolaños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e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>#VALUE!</v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>Tarea 32:</v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>REQ012: Emisión de Comprobantes</v>
      </c>
      <c r="J78" s="113" t="e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>#VALUE!</v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22: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Revisión de Backlog Sprint1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>Descripción:</v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>Desarrollo del REQ012</v>
      </c>
      <c r="J79" s="113" t="e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>#VALUE!</v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Revision del Backlog en el Sprint 1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>Inicio:</v>
      </c>
      <c r="I80" s="113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>46027</v>
      </c>
      <c r="J80" s="113" t="e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>#VALUE!</v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46011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>Previsto:</v>
      </c>
      <c r="I81" s="113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>46034</v>
      </c>
      <c r="J81" s="113" t="e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>#VALUE!</v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46019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>Final:</v>
      </c>
      <c r="I82" s="113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>46034</v>
      </c>
      <c r="J82" s="113" t="e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>#VALUE!</v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46019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>Duración:</v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>8 días</v>
      </c>
      <c r="J83" s="113" t="e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>#VALUE!</v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9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>Retraso:</v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>0 días</v>
      </c>
      <c r="J84" s="113" t="e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>#VALUE!</v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>Asignado:</v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>Leopoldo Bolaños</v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Ing. Jenny Ruiz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e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>#VALUE!</v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>Tarea 31:</v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>REQ011: Interfaz de Punto de Venta</v>
      </c>
      <c r="J87" s="113" t="e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>#VALUE!</v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21: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REQ006: Generación de reportes PDF/Excel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>Descripción:</v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>Desarrollo del REQ011</v>
      </c>
      <c r="J88" s="113" t="e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>#VALUE!</v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Desarrollo del REQ006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>Inicio:</v>
      </c>
      <c r="I89" s="113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>46027</v>
      </c>
      <c r="J89" s="113" t="e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>#VALUE!</v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46011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>Previsto:</v>
      </c>
      <c r="I90" s="113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>46034</v>
      </c>
      <c r="J90" s="113" t="e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>#VALUE!</v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46019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>Final:</v>
      </c>
      <c r="I91" s="113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>46034</v>
      </c>
      <c r="J91" s="113" t="e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>#VALUE!</v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46019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>Duración:</v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>8 días</v>
      </c>
      <c r="J92" s="113" t="e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>#VALUE!</v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9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>Retraso:</v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>0 días</v>
      </c>
      <c r="J93" s="113" t="e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>#VALUE!</v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>Asignado:</v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>Bryan Cevallos</v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Noe Cahuatijo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20: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REQ005: Registro de salidas con motivos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Desarrollo del REQ005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46011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46019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46019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9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Bryan Cevallos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19: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Matriz de HU 3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Elaboracion de la tercera version de HU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46001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17/12/025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46008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8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Leopoldo Bolaños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18: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REQ004: Categorización de productos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Desarrollo del REQ004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45987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45994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45994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8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Leopoldo Bolaños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17: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REQ003: Catálogo y Estados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Desarrollo del REQ003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45987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45994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45994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8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Bryan Cevallos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16: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REQ002: Ingreso y validacion de productos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Desarrollo del REQ002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45987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45994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45994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8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Noe Cahuatijo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15:</v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REQ001: Inicio de sesión seguro</v>
      </c>
      <c r="T141" s="113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Desarrollo del REQ001</v>
      </c>
      <c r="T142" s="113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3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45987</v>
      </c>
      <c r="T143" s="113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3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45994</v>
      </c>
      <c r="T144" s="113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3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45994</v>
      </c>
      <c r="T145" s="113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8 días</v>
      </c>
      <c r="T146" s="113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3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Jelen Lucio</v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14:</v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Resultados Esperados</v>
      </c>
      <c r="T150" s="113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Plantear los Resultados Esperado</v>
      </c>
      <c r="T151" s="113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3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45985</v>
      </c>
      <c r="T152" s="113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3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45989</v>
      </c>
      <c r="T153" s="113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3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45989</v>
      </c>
      <c r="T154" s="113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5 días</v>
      </c>
      <c r="T155" s="113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3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Bryan Cevallos</v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13:</v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Ideas a Defender</v>
      </c>
      <c r="T159" s="113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Plantear las ideas a defender del proyecto</v>
      </c>
      <c r="T160" s="113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3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45985</v>
      </c>
      <c r="T161" s="113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3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45989</v>
      </c>
      <c r="T162" s="113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3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45989</v>
      </c>
      <c r="T163" s="113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5 días</v>
      </c>
      <c r="T164" s="113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3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Leopoldo Bolaños</v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12:</v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Matriz de HU 2</v>
      </c>
      <c r="T168" s="113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Elaboracion de la segunda version de HU</v>
      </c>
      <c r="T169" s="113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3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45974</v>
      </c>
      <c r="T170" s="113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3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45985</v>
      </c>
      <c r="T171" s="113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3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45985</v>
      </c>
      <c r="T172" s="113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12 días</v>
      </c>
      <c r="T173" s="113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3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Noe Cahuatijo</v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11:</v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Entrevista 2 con el Usuario</v>
      </c>
      <c r="T177" s="113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Realizar la segunda entrevista al cliente</v>
      </c>
      <c r="T178" s="113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3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45971</v>
      </c>
      <c r="T179" s="113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3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45974</v>
      </c>
      <c r="T180" s="113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3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45974</v>
      </c>
      <c r="T181" s="113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4 días</v>
      </c>
      <c r="T182" s="113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3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Lucio, Cevallos, Bolaños, Cahuatijo</v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10:</v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Matriz de HU 1</v>
      </c>
      <c r="T186" s="113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Elaboracion de la primera versión de HU</v>
      </c>
      <c r="T187" s="113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3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45967</v>
      </c>
      <c r="T188" s="113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3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45971</v>
      </c>
      <c r="T189" s="113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3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45971</v>
      </c>
      <c r="T190" s="113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5 días</v>
      </c>
      <c r="T191" s="113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3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Noe Cahuatijo</v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9:</v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Viabilidad</v>
      </c>
      <c r="T195" s="113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Evaluar la viabilidad el Proyecto</v>
      </c>
      <c r="T196" s="113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3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45957</v>
      </c>
      <c r="T197" s="113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3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45961</v>
      </c>
      <c r="T198" s="113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3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45961</v>
      </c>
      <c r="T199" s="113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5 días</v>
      </c>
      <c r="T200" s="113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zoomScale="122" zoomScaleNormal="122" workbookViewId="0">
      <pane ySplit="1" topLeftCell="A27" activePane="bottomLeft" state="frozen"/>
      <selection pane="bottomLeft" activeCell="A32" sqref="A32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1" style="3" customWidth="1"/>
    <col min="12" max="16384" width="11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">
      <c r="A2" s="91" t="s">
        <v>5</v>
      </c>
      <c r="B2" s="92" t="s">
        <v>6</v>
      </c>
      <c r="C2" s="104" t="s">
        <v>248</v>
      </c>
      <c r="D2" s="102" t="s">
        <v>223</v>
      </c>
      <c r="E2" s="103">
        <v>45947</v>
      </c>
      <c r="F2" s="93">
        <v>45953</v>
      </c>
      <c r="G2" s="93">
        <v>45953</v>
      </c>
      <c r="H2" s="43" t="str">
        <f>IF(Datos!$G2&gt;0,Datos!$G2-Datos!$E2+1 &amp; " " &amp; Idiomas!$A$29,"")</f>
        <v>7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230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">
      <c r="A3" s="94" t="s">
        <v>5</v>
      </c>
      <c r="B3" s="95" t="s">
        <v>6</v>
      </c>
      <c r="C3" s="3" t="s">
        <v>218</v>
      </c>
      <c r="D3" s="104" t="s">
        <v>249</v>
      </c>
      <c r="E3" s="105">
        <v>45947</v>
      </c>
      <c r="F3" s="96">
        <v>45953</v>
      </c>
      <c r="G3" s="96">
        <v>45953</v>
      </c>
      <c r="H3" s="45" t="str">
        <f>IF(Datos!$G3&gt;0,Datos!$G3-Datos!$E3+1 &amp; " " &amp; Idiomas!$A$29,"")</f>
        <v>7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228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6</v>
      </c>
      <c r="C4" s="92" t="s">
        <v>219</v>
      </c>
      <c r="D4" s="92" t="s">
        <v>224</v>
      </c>
      <c r="E4" s="103">
        <v>45947</v>
      </c>
      <c r="F4" s="93">
        <v>45953</v>
      </c>
      <c r="G4" s="93">
        <v>45953</v>
      </c>
      <c r="H4" s="43" t="str">
        <f>IF(Datos!$G4&gt;0,Datos!$G4-Datos!$E4+1 &amp; " " &amp; Idiomas!$A$29,"")</f>
        <v>7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231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6</v>
      </c>
      <c r="C5" s="3" t="s">
        <v>220</v>
      </c>
      <c r="D5" s="95" t="s">
        <v>225</v>
      </c>
      <c r="E5" s="96">
        <v>45947</v>
      </c>
      <c r="F5" s="96">
        <v>45953</v>
      </c>
      <c r="G5" s="96">
        <v>45953</v>
      </c>
      <c r="H5" s="45" t="str">
        <f>IF(Datos!$G5&gt;0,Datos!$G5-Datos!$E5+1 &amp; " " &amp; Idiomas!$A$29,"")</f>
        <v>7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8.8" x14ac:dyDescent="0.3">
      <c r="A6" s="91" t="s">
        <v>5</v>
      </c>
      <c r="B6" s="92" t="s">
        <v>6</v>
      </c>
      <c r="C6" s="107" t="s">
        <v>233</v>
      </c>
      <c r="D6" s="102" t="s">
        <v>234</v>
      </c>
      <c r="E6" s="93">
        <v>45947</v>
      </c>
      <c r="F6" s="93">
        <v>45953</v>
      </c>
      <c r="G6" s="93">
        <v>45953</v>
      </c>
      <c r="H6" s="43" t="str">
        <f>IF(Datos!$G6&gt;0,Datos!$G6-Datos!$E6+1 &amp; " " &amp; Idiomas!$A$29,"")</f>
        <v>7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6</v>
      </c>
      <c r="C7" s="106" t="s">
        <v>221</v>
      </c>
      <c r="D7" s="95" t="s">
        <v>226</v>
      </c>
      <c r="E7" s="96">
        <v>45947</v>
      </c>
      <c r="F7" s="96">
        <v>45953</v>
      </c>
      <c r="G7" s="96">
        <v>45953</v>
      </c>
      <c r="H7" s="45" t="str">
        <f>IF(Datos!$G7&gt;0,Datos!$G7-Datos!$E7+1 &amp; " " &amp; Idiomas!$A$29,"")</f>
        <v>7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228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5</v>
      </c>
      <c r="B8" s="92" t="s">
        <v>6</v>
      </c>
      <c r="C8" s="109" t="s">
        <v>222</v>
      </c>
      <c r="D8" s="102" t="s">
        <v>250</v>
      </c>
      <c r="E8" s="110">
        <v>45947</v>
      </c>
      <c r="F8" s="93">
        <v>45953</v>
      </c>
      <c r="G8" s="110">
        <v>45953</v>
      </c>
      <c r="H8" s="43" t="str">
        <f>IF(Datos!$G8&gt;0,Datos!$G8-Datos!$E8+1 &amp; " " &amp; Idiomas!$A$29,"")</f>
        <v>7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232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6</v>
      </c>
      <c r="C9" s="106" t="s">
        <v>235</v>
      </c>
      <c r="D9" s="95" t="s">
        <v>251</v>
      </c>
      <c r="E9" s="96">
        <v>45957</v>
      </c>
      <c r="F9" s="96">
        <v>45961</v>
      </c>
      <c r="G9" s="96">
        <v>45961</v>
      </c>
      <c r="H9" s="45" t="str">
        <f>IF(Datos!$G9&gt;0,Datos!$G9-Datos!$E9+1 &amp; " " &amp; Idiomas!$A$29,"")</f>
        <v>5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6</v>
      </c>
      <c r="C10" s="107" t="s">
        <v>236</v>
      </c>
      <c r="D10" s="92" t="s">
        <v>252</v>
      </c>
      <c r="E10" s="93">
        <v>45957</v>
      </c>
      <c r="F10" s="93">
        <v>45961</v>
      </c>
      <c r="G10" s="93">
        <v>45961</v>
      </c>
      <c r="H10" s="43" t="str">
        <f>IF(Datos!$G10&gt;0,Datos!$G10-Datos!$E10+1 &amp; " " &amp; Idiomas!$A$29,"")</f>
        <v>5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6</v>
      </c>
      <c r="C11" s="106" t="s">
        <v>237</v>
      </c>
      <c r="D11" s="95" t="s">
        <v>253</v>
      </c>
      <c r="E11" s="97">
        <v>45967</v>
      </c>
      <c r="F11" s="96">
        <v>45971</v>
      </c>
      <c r="G11" s="96">
        <v>45971</v>
      </c>
      <c r="H11" s="45" t="str">
        <f>IF(Datos!$G11&gt;0,Datos!$G11-Datos!$E11+1 &amp; " " &amp; Idiomas!$A$29,"")</f>
        <v>5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231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5</v>
      </c>
      <c r="B12" s="92" t="s">
        <v>6</v>
      </c>
      <c r="C12" s="107" t="s">
        <v>238</v>
      </c>
      <c r="D12" s="102" t="s">
        <v>254</v>
      </c>
      <c r="E12" s="98">
        <v>45971</v>
      </c>
      <c r="F12" s="93">
        <v>45974</v>
      </c>
      <c r="G12" s="93">
        <v>45974</v>
      </c>
      <c r="H12" s="43" t="str">
        <f>IF(Datos!$G12&gt;0,Datos!$G12-Datos!$E12+1 &amp; " " &amp; Idiomas!$A$29,"")</f>
        <v>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232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5</v>
      </c>
      <c r="B13" s="95" t="s">
        <v>6</v>
      </c>
      <c r="C13" s="108" t="s">
        <v>239</v>
      </c>
      <c r="D13" s="104" t="s">
        <v>255</v>
      </c>
      <c r="E13" s="96">
        <v>45974</v>
      </c>
      <c r="F13" s="96">
        <v>45985</v>
      </c>
      <c r="G13" s="96">
        <v>45985</v>
      </c>
      <c r="H13" s="45" t="str">
        <f>IF(Datos!$G13&gt;0,Datos!$G13-Datos!$E13+1 &amp; " " &amp; Idiomas!$A$29,"")</f>
        <v>12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231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3">
      <c r="A14" s="91" t="s">
        <v>5</v>
      </c>
      <c r="B14" s="92" t="s">
        <v>6</v>
      </c>
      <c r="C14" s="107" t="s">
        <v>240</v>
      </c>
      <c r="D14" s="102" t="s">
        <v>256</v>
      </c>
      <c r="E14" s="110">
        <v>45985</v>
      </c>
      <c r="F14" s="93">
        <v>45989</v>
      </c>
      <c r="G14" s="110">
        <v>45989</v>
      </c>
      <c r="H14" s="43" t="str">
        <f>IF(Datos!$G14&gt;0,Datos!$G14-Datos!$E14+1 &amp; " " &amp; Idiomas!$A$29,"")</f>
        <v>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230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6</v>
      </c>
      <c r="C15" s="106" t="s">
        <v>241</v>
      </c>
      <c r="D15" s="95" t="s">
        <v>257</v>
      </c>
      <c r="E15" s="111">
        <v>45985</v>
      </c>
      <c r="F15" s="96">
        <v>45989</v>
      </c>
      <c r="G15" s="111">
        <v>45989</v>
      </c>
      <c r="H15" s="45" t="str">
        <f>IF(Datos!$G15&gt;0,Datos!$G15-Datos!$E15+1 &amp; " " &amp; Idiomas!$A$29,"")</f>
        <v>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3">
      <c r="A16" s="91" t="s">
        <v>5</v>
      </c>
      <c r="B16" s="92" t="s">
        <v>6</v>
      </c>
      <c r="C16" s="112" t="s">
        <v>258</v>
      </c>
      <c r="D16" s="102" t="s">
        <v>242</v>
      </c>
      <c r="E16" s="110">
        <v>45987</v>
      </c>
      <c r="F16" s="110">
        <v>45994</v>
      </c>
      <c r="G16" s="110">
        <v>45994</v>
      </c>
      <c r="H16" s="43" t="str">
        <f>IF(Datos!$G16&gt;0,Datos!$G16-Datos!$E16+1 &amp; " " &amp; Idiomas!$A$29,"")</f>
        <v>8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228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5</v>
      </c>
      <c r="B17" s="95" t="s">
        <v>6</v>
      </c>
      <c r="C17" s="106" t="s">
        <v>259</v>
      </c>
      <c r="D17" s="104" t="s">
        <v>243</v>
      </c>
      <c r="E17" s="111">
        <v>45987</v>
      </c>
      <c r="F17" s="96">
        <v>45994</v>
      </c>
      <c r="G17" s="96">
        <v>45994</v>
      </c>
      <c r="H17" s="45" t="str">
        <f>IF(Datos!$G17&gt;0,Datos!$G17-Datos!$E17+1 &amp; " " &amp; Idiomas!$A$29,"")</f>
        <v>8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231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6</v>
      </c>
      <c r="C18" s="109" t="s">
        <v>260</v>
      </c>
      <c r="D18" s="92" t="s">
        <v>244</v>
      </c>
      <c r="E18" s="110">
        <v>45987</v>
      </c>
      <c r="F18" s="110">
        <v>45994</v>
      </c>
      <c r="G18" s="110">
        <v>45994</v>
      </c>
      <c r="H18" s="43" t="str">
        <f>IF(Datos!$G18&gt;0,Datos!$G18-Datos!$E18+1 &amp; " " &amp; Idiomas!$A$29,"")</f>
        <v>8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229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6</v>
      </c>
      <c r="C19" s="106" t="s">
        <v>261</v>
      </c>
      <c r="D19" s="95" t="s">
        <v>245</v>
      </c>
      <c r="E19" s="111">
        <v>45987</v>
      </c>
      <c r="F19" s="111">
        <v>45994</v>
      </c>
      <c r="G19" s="111">
        <v>45994</v>
      </c>
      <c r="H19" s="45" t="str">
        <f>IF(Datos!$G19&gt;0,Datos!$G19-Datos!$E19+1 &amp; " " &amp; Idiomas!$A$29,"")</f>
        <v>8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230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6</v>
      </c>
      <c r="C20" s="109" t="s">
        <v>246</v>
      </c>
      <c r="D20" s="92" t="s">
        <v>295</v>
      </c>
      <c r="E20" s="110">
        <v>46001</v>
      </c>
      <c r="F20" s="110" t="s">
        <v>262</v>
      </c>
      <c r="G20" s="110">
        <v>46008</v>
      </c>
      <c r="H20" s="43" t="str">
        <f>IF(Datos!$G20&gt;0,Datos!$G20-Datos!$E20+1 &amp; " " &amp; Idiomas!$A$29,"")</f>
        <v>8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230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28.8" x14ac:dyDescent="0.3">
      <c r="A21" s="94" t="s">
        <v>5</v>
      </c>
      <c r="B21" s="95" t="s">
        <v>6</v>
      </c>
      <c r="C21" s="108" t="s">
        <v>269</v>
      </c>
      <c r="D21" s="104" t="s">
        <v>282</v>
      </c>
      <c r="E21" s="111">
        <v>46011</v>
      </c>
      <c r="F21" s="111">
        <v>46019</v>
      </c>
      <c r="G21" s="111">
        <v>46019</v>
      </c>
      <c r="H21" s="45" t="str">
        <f>IF(Datos!$G21&gt;0,Datos!$G21-Datos!$E21+1 &amp; " " &amp; Idiomas!$A$29,"")</f>
        <v>9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229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5</v>
      </c>
      <c r="B22" s="92" t="s">
        <v>6</v>
      </c>
      <c r="C22" s="109" t="s">
        <v>270</v>
      </c>
      <c r="D22" s="92" t="s">
        <v>283</v>
      </c>
      <c r="E22" s="110">
        <v>46011</v>
      </c>
      <c r="F22" s="110">
        <v>46019</v>
      </c>
      <c r="G22" s="110">
        <v>46019</v>
      </c>
      <c r="H22" s="43" t="str">
        <f>IF(Datos!$G22&gt;0,Datos!$G22-Datos!$E22+1 &amp; " " &amp; Idiomas!$A$29,"")</f>
        <v>9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231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5</v>
      </c>
      <c r="B23" s="95" t="s">
        <v>3</v>
      </c>
      <c r="C23" s="106" t="s">
        <v>263</v>
      </c>
      <c r="D23" s="95" t="s">
        <v>298</v>
      </c>
      <c r="E23" s="111">
        <v>46011</v>
      </c>
      <c r="F23" s="111">
        <v>46019</v>
      </c>
      <c r="G23" s="111">
        <v>46019</v>
      </c>
      <c r="H23" s="45" t="str">
        <f>IF(Datos!$G23&gt;0,Datos!$G23-Datos!$E23+1 &amp; " " &amp; Idiomas!$A$29,"")</f>
        <v>9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227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5</v>
      </c>
      <c r="B24" s="92" t="s">
        <v>6</v>
      </c>
      <c r="C24" s="109" t="s">
        <v>271</v>
      </c>
      <c r="D24" s="92" t="s">
        <v>284</v>
      </c>
      <c r="E24" s="110">
        <v>46011</v>
      </c>
      <c r="F24" s="110">
        <v>46019</v>
      </c>
      <c r="G24" s="110">
        <v>46019</v>
      </c>
      <c r="H24" s="43" t="str">
        <f>IF(Datos!$G24&gt;0,Datos!$G24-Datos!$E24+1 &amp; " " &amp; Idiomas!$A$29,"")</f>
        <v>9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230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5</v>
      </c>
      <c r="B25" s="95" t="s">
        <v>6</v>
      </c>
      <c r="C25" s="106" t="s">
        <v>272</v>
      </c>
      <c r="D25" s="95" t="s">
        <v>285</v>
      </c>
      <c r="E25" s="111">
        <v>46011</v>
      </c>
      <c r="F25" s="111">
        <v>46019</v>
      </c>
      <c r="G25" s="111">
        <v>46019</v>
      </c>
      <c r="H25" s="45" t="str">
        <f>IF(Datos!$G25&gt;0,Datos!$G25-Datos!$E25+1 &amp; " " &amp; Idiomas!$A$29,"")</f>
        <v>9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229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 t="s">
        <v>5</v>
      </c>
      <c r="B26" s="92" t="s">
        <v>6</v>
      </c>
      <c r="C26" s="109" t="s">
        <v>273</v>
      </c>
      <c r="D26" s="92" t="s">
        <v>286</v>
      </c>
      <c r="E26" s="110">
        <v>46011</v>
      </c>
      <c r="F26" s="110">
        <v>46019</v>
      </c>
      <c r="G26" s="110">
        <v>46019</v>
      </c>
      <c r="H26" s="43" t="str">
        <f>IF(Datos!$G26&gt;0,Datos!$G26-Datos!$E26+1 &amp; " " &amp; Idiomas!$A$29,"")</f>
        <v>9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228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">
      <c r="A27" s="94" t="s">
        <v>5</v>
      </c>
      <c r="B27" s="95" t="s">
        <v>6</v>
      </c>
      <c r="C27" s="106" t="s">
        <v>274</v>
      </c>
      <c r="D27" s="95" t="s">
        <v>287</v>
      </c>
      <c r="E27" s="111">
        <v>46011</v>
      </c>
      <c r="F27" s="111">
        <v>46019</v>
      </c>
      <c r="G27" s="111">
        <v>46019</v>
      </c>
      <c r="H27" s="45" t="str">
        <f>IF(Datos!$G27&gt;0,Datos!$G27-Datos!$E27+1 &amp; " " &amp; Idiomas!$A$29,"")</f>
        <v>9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231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">
      <c r="A28" s="91" t="s">
        <v>5</v>
      </c>
      <c r="B28" s="92" t="s">
        <v>6</v>
      </c>
      <c r="C28" s="109" t="s">
        <v>247</v>
      </c>
      <c r="D28" s="92" t="s">
        <v>296</v>
      </c>
      <c r="E28" s="110">
        <v>46011</v>
      </c>
      <c r="F28" s="110">
        <v>46019</v>
      </c>
      <c r="G28" s="110">
        <v>46019</v>
      </c>
      <c r="H28" s="43" t="str">
        <f>IF(Datos!$G28&gt;0,Datos!$G28-Datos!$E28+1 &amp; " " &amp; Idiomas!$A$29,"")</f>
        <v>9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229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">
      <c r="A29" s="94" t="s">
        <v>5</v>
      </c>
      <c r="B29" s="95" t="s">
        <v>3</v>
      </c>
      <c r="C29" s="106" t="s">
        <v>299</v>
      </c>
      <c r="D29" s="95" t="s">
        <v>300</v>
      </c>
      <c r="E29" s="111">
        <v>46027</v>
      </c>
      <c r="F29" s="111">
        <v>46034</v>
      </c>
      <c r="G29" s="111">
        <v>46034</v>
      </c>
      <c r="H29" s="45" t="str">
        <f>IF(Datos!$G29&gt;0,Datos!$G29-Datos!$E29+1 &amp; " " &amp; Idiomas!$A$29,"")</f>
        <v>8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227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">
      <c r="A30" s="91" t="s">
        <v>5</v>
      </c>
      <c r="B30" s="92" t="s">
        <v>6</v>
      </c>
      <c r="C30" s="109" t="s">
        <v>264</v>
      </c>
      <c r="D30" s="92" t="s">
        <v>297</v>
      </c>
      <c r="E30" s="110">
        <v>46027</v>
      </c>
      <c r="F30" s="110">
        <v>46034</v>
      </c>
      <c r="G30" s="110">
        <v>46034</v>
      </c>
      <c r="H30" s="43" t="str">
        <f>IF(Datos!$G30&gt;0,Datos!$G30-Datos!$E30+1 &amp; " " &amp; Idiomas!$A$29,"")</f>
        <v>8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228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">
      <c r="A31" s="94" t="s">
        <v>5</v>
      </c>
      <c r="B31" s="95" t="s">
        <v>3</v>
      </c>
      <c r="C31" s="106" t="s">
        <v>265</v>
      </c>
      <c r="D31" s="95" t="s">
        <v>301</v>
      </c>
      <c r="E31" s="111">
        <v>46027</v>
      </c>
      <c r="F31" s="111">
        <v>46034</v>
      </c>
      <c r="G31" s="111">
        <v>46034</v>
      </c>
      <c r="H31" s="45" t="str">
        <f>IF(Datos!$G31&gt;0,Datos!$G31-Datos!$E31+1 &amp; " " &amp; Idiomas!$A$29,"")</f>
        <v>8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227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">
      <c r="A32" s="91" t="s">
        <v>7</v>
      </c>
      <c r="B32" s="92" t="s">
        <v>6</v>
      </c>
      <c r="C32" s="109" t="s">
        <v>275</v>
      </c>
      <c r="D32" s="92" t="s">
        <v>288</v>
      </c>
      <c r="E32" s="110">
        <v>46027</v>
      </c>
      <c r="F32" s="110">
        <v>46034</v>
      </c>
      <c r="G32" s="110">
        <v>46034</v>
      </c>
      <c r="H32" s="43" t="str">
        <f>IF(Datos!$G32&gt;0,Datos!$G32-Datos!$E32+1 &amp; " " &amp; Idiomas!$A$29,"")</f>
        <v>8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229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">
      <c r="A33" s="94" t="s">
        <v>7</v>
      </c>
      <c r="B33" s="95" t="s">
        <v>6</v>
      </c>
      <c r="C33" s="106" t="s">
        <v>276</v>
      </c>
      <c r="D33" s="95" t="s">
        <v>290</v>
      </c>
      <c r="E33" s="111">
        <v>46027</v>
      </c>
      <c r="F33" s="111">
        <v>46034</v>
      </c>
      <c r="G33" s="111">
        <v>46034</v>
      </c>
      <c r="H33" s="45" t="str">
        <f>IF(Datos!$G33&gt;0,Datos!$G33-Datos!$E33+1 &amp; " " &amp; Idiomas!$A$29,"")</f>
        <v>8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230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">
      <c r="A34" s="91" t="s">
        <v>7</v>
      </c>
      <c r="B34" s="92" t="s">
        <v>6</v>
      </c>
      <c r="C34" s="109" t="s">
        <v>277</v>
      </c>
      <c r="D34" s="92" t="s">
        <v>291</v>
      </c>
      <c r="E34" s="110">
        <v>46027</v>
      </c>
      <c r="F34" s="110">
        <v>46034</v>
      </c>
      <c r="G34" s="110">
        <v>46034</v>
      </c>
      <c r="H34" s="43" t="str">
        <f>IF(Datos!$G34&gt;0,Datos!$G34-Datos!$E34+1 &amp; " " &amp; Idiomas!$A$29,"")</f>
        <v>8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230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">
      <c r="A35" s="94" t="s">
        <v>7</v>
      </c>
      <c r="B35" s="95" t="s">
        <v>6</v>
      </c>
      <c r="C35" s="106" t="s">
        <v>278</v>
      </c>
      <c r="D35" s="95" t="s">
        <v>289</v>
      </c>
      <c r="E35" s="111">
        <v>46027</v>
      </c>
      <c r="F35" s="111">
        <v>46034</v>
      </c>
      <c r="G35" s="111">
        <v>46034</v>
      </c>
      <c r="H35" s="45" t="str">
        <f>IF(Datos!$G35&gt;0,Datos!$G35-Datos!$E35+1 &amp; " " &amp; Idiomas!$A$29,"")</f>
        <v>8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229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">
      <c r="A36" s="91" t="s">
        <v>7</v>
      </c>
      <c r="B36" s="92" t="s">
        <v>6</v>
      </c>
      <c r="C36" s="109" t="s">
        <v>279</v>
      </c>
      <c r="D36" s="92" t="s">
        <v>292</v>
      </c>
      <c r="E36" s="110">
        <v>46027</v>
      </c>
      <c r="F36" s="110">
        <v>46034</v>
      </c>
      <c r="G36" s="110">
        <v>46034</v>
      </c>
      <c r="H36" s="43" t="str">
        <f>IF(Datos!$G36&gt;0,Datos!$G36-Datos!$E36+1 &amp; " " &amp; Idiomas!$A$29,"")</f>
        <v>8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231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">
      <c r="A37" s="94" t="s">
        <v>7</v>
      </c>
      <c r="B37" s="95" t="s">
        <v>6</v>
      </c>
      <c r="C37" s="106" t="s">
        <v>280</v>
      </c>
      <c r="D37" s="95" t="s">
        <v>293</v>
      </c>
      <c r="E37" s="111">
        <v>46027</v>
      </c>
      <c r="F37" s="111">
        <v>46034</v>
      </c>
      <c r="G37" s="111">
        <v>46034</v>
      </c>
      <c r="H37" s="45" t="str">
        <f>IF(Datos!$G37&gt;0,Datos!$G37-Datos!$E37+1 &amp; " " &amp; Idiomas!$A$29,"")</f>
        <v>8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228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">
      <c r="A38" s="91" t="s">
        <v>7</v>
      </c>
      <c r="B38" s="92" t="s">
        <v>6</v>
      </c>
      <c r="C38" s="109" t="s">
        <v>281</v>
      </c>
      <c r="D38" s="92" t="s">
        <v>294</v>
      </c>
      <c r="E38" s="110">
        <v>46027</v>
      </c>
      <c r="F38" s="110">
        <v>46034</v>
      </c>
      <c r="G38" s="110">
        <v>46034</v>
      </c>
      <c r="H38" s="43" t="str">
        <f>IF(Datos!$G38&gt;0,Datos!$G38-Datos!$E38+1 &amp; " " &amp; Idiomas!$A$29,"")</f>
        <v>8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230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">
      <c r="A39" s="94" t="s">
        <v>7</v>
      </c>
      <c r="B39" s="95" t="s">
        <v>3</v>
      </c>
      <c r="C39" s="106" t="s">
        <v>266</v>
      </c>
      <c r="D39" s="95" t="s">
        <v>302</v>
      </c>
      <c r="E39" s="111">
        <v>46035</v>
      </c>
      <c r="F39" s="111">
        <v>46038</v>
      </c>
      <c r="G39" s="111">
        <v>46038</v>
      </c>
      <c r="H39" s="45" t="str">
        <f>IF(Datos!$G39&gt;0,Datos!$G39-Datos!$E39+1 &amp; " " &amp; Idiomas!$A$29,"")</f>
        <v>4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227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">
      <c r="A40" s="91" t="s">
        <v>7</v>
      </c>
      <c r="B40" s="92" t="s">
        <v>3</v>
      </c>
      <c r="C40" s="109" t="s">
        <v>267</v>
      </c>
      <c r="D40" s="92" t="s">
        <v>303</v>
      </c>
      <c r="E40" s="110">
        <v>46035</v>
      </c>
      <c r="F40" s="110">
        <v>46038</v>
      </c>
      <c r="G40" s="110">
        <v>46038</v>
      </c>
      <c r="H40" s="43" t="str">
        <f>IF(Datos!$G40&gt;0,Datos!$G40-Datos!$E40+1 &amp; " " &amp; Idiomas!$A$29,"")</f>
        <v>4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227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">
      <c r="A41" s="94" t="s">
        <v>7</v>
      </c>
      <c r="B41" s="95" t="s">
        <v>3</v>
      </c>
      <c r="C41" s="106" t="s">
        <v>268</v>
      </c>
      <c r="D41" s="95" t="s">
        <v>304</v>
      </c>
      <c r="E41" s="111">
        <v>46035</v>
      </c>
      <c r="F41" s="111">
        <v>46038</v>
      </c>
      <c r="G41" s="111">
        <v>46038</v>
      </c>
      <c r="H41" s="45" t="str">
        <f>IF(Datos!$G41&gt;0,Datos!$G41-Datos!$E41+1 &amp; " " &amp; Idiomas!$A$29,"")</f>
        <v>4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232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19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61:E101 E2:E4 E11:E13 G61:G101 F2:F15 G17 F17 F61:F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J2:J27 J61:J101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5" workbookViewId="0">
      <selection activeCell="H22" sqref="H22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1" style="2" hidden="1"/>
  </cols>
  <sheetData>
    <row r="1" spans="2:9" ht="15" customHeight="1" x14ac:dyDescent="0.3"/>
    <row r="2" spans="2:9" ht="15" customHeight="1" x14ac:dyDescent="0.3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13</v>
      </c>
      <c r="F3" s="120" t="s">
        <v>14</v>
      </c>
      <c r="G3" s="120"/>
      <c r="H3" s="120"/>
    </row>
    <row r="4" spans="2:9" x14ac:dyDescent="0.3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228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229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230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9" t="s">
        <v>231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232</v>
      </c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8" t="s">
        <v>227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21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1" style="2" customWidth="1"/>
    <col min="2" max="2" width="10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1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R-195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R-195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R195:R202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R-186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R-186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R186:R193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R-177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R-177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R177:R184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R-168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R-168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R168:R175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R-159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R-159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R159:R166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R-150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R-150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R150:R157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R-141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R-141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R141:R148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R-132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R-132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R132:R139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1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R-123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R-123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R123:R130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R-114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R-114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R114:R121</v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R-105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R-105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R105:R112</v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R-96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R-96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R96:R103</v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R-87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R-87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R87:R94</v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R-78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R-78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R78:R85</v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R-69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R-69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R69:R76</v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R-60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R-60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R60:R67</v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R-51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R-51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R51:R58</v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R-42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R-42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R42:R49</v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1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R-33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R-33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R33:R40</v>
      </c>
    </row>
    <row r="29" spans="1:16" ht="15.6" thickTop="1" thickBot="1" x14ac:dyDescent="0.35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R-24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R-24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R24:R31</v>
      </c>
    </row>
    <row r="30" spans="1:16" ht="15.6" thickTop="1" thickBot="1" x14ac:dyDescent="0.35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R-15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R-15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R15:R22</v>
      </c>
    </row>
    <row r="31" spans="1:16" ht="15.6" thickTop="1" thickBot="1" x14ac:dyDescent="0.35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>R-6</v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R-6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R6:R13</v>
      </c>
    </row>
    <row r="32" spans="1:16" ht="15.6" thickTop="1" thickBot="1" x14ac:dyDescent="0.35">
      <c r="A32" s="52" t="str">
        <f>IFERROR(IF(Datos!$A32="","",Idiomas!$A$12&amp;" "&amp;ROW()-1),"")</f>
        <v>Tarea 31</v>
      </c>
      <c r="B32" s="53">
        <f>IFERROR(MATCH(Datos!$A32,Configura!$B$9:$B$18,0),0)</f>
        <v>2</v>
      </c>
      <c r="C32" s="53">
        <f>IFERROR(MATCH(Datos!$B32,Configura!$D$9:$D$11,0),0)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>H-87</v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H-87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H87:H94</v>
      </c>
    </row>
    <row r="33" spans="1:16" ht="15.6" thickTop="1" thickBot="1" x14ac:dyDescent="0.35">
      <c r="A33" s="56" t="str">
        <f>IFERROR(IF(Datos!$A33="","",Idiomas!$A$12&amp;" "&amp;ROW()-1),"")</f>
        <v>Tarea 32</v>
      </c>
      <c r="B33" s="57">
        <f>IFERROR(MATCH(Datos!$A33,Configura!$B$9:$B$18,0),0)</f>
        <v>2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>H-78</v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H-78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H78:H85</v>
      </c>
    </row>
    <row r="34" spans="1:16" ht="15.6" thickTop="1" thickBot="1" x14ac:dyDescent="0.35">
      <c r="A34" s="52" t="str">
        <f>IFERROR(IF(Datos!$A34="","",Idiomas!$A$12&amp;" "&amp;ROW()-1),"")</f>
        <v>Tarea 33</v>
      </c>
      <c r="B34" s="53">
        <f>IFERROR(MATCH(Datos!$A34,Configura!$B$9:$B$18,0),0)</f>
        <v>2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>H-69</v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H-69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H69:H76</v>
      </c>
    </row>
    <row r="35" spans="1:16" ht="15.6" thickTop="1" thickBot="1" x14ac:dyDescent="0.35">
      <c r="A35" s="56" t="str">
        <f>IFERROR(IF(Datos!$A35="","",Idiomas!$A$12&amp;" "&amp;ROW()-1),"")</f>
        <v>Tarea 34</v>
      </c>
      <c r="B35" s="57">
        <f>IFERROR(MATCH(Datos!$A35,Configura!$B$9:$B$18,0),0)</f>
        <v>2</v>
      </c>
      <c r="C35" s="57">
        <f>IFERROR(MATCH(Datos!$B35,Configura!$D$9:$D$11,0),0)</f>
        <v>1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>H-60</v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H-60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H60:H67</v>
      </c>
    </row>
    <row r="36" spans="1:16" ht="15.6" thickTop="1" thickBot="1" x14ac:dyDescent="0.35">
      <c r="A36" s="52" t="str">
        <f>IFERROR(IF(Datos!$A36="","",Idiomas!$A$12&amp;" "&amp;ROW()-1),"")</f>
        <v>Tarea 35</v>
      </c>
      <c r="B36" s="53">
        <f>IFERROR(MATCH(Datos!$A36,Configura!$B$9:$B$18,0),0)</f>
        <v>2</v>
      </c>
      <c r="C36" s="53">
        <f>IFERROR(MATCH(Datos!$B36,Configura!$D$9:$D$11,0),0)</f>
        <v>1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>H-51</v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H-51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H51:H58</v>
      </c>
    </row>
    <row r="37" spans="1:16" ht="15.6" thickTop="1" thickBot="1" x14ac:dyDescent="0.35">
      <c r="A37" s="56" t="str">
        <f>IFERROR(IF(Datos!$A37="","",Idiomas!$A$12&amp;" "&amp;ROW()-1),"")</f>
        <v>Tarea 36</v>
      </c>
      <c r="B37" s="57">
        <f>IFERROR(MATCH(Datos!$A37,Configura!$B$9:$B$18,0),0)</f>
        <v>2</v>
      </c>
      <c r="C37" s="57">
        <f>IFERROR(MATCH(Datos!$B37,Configura!$D$9:$D$11,0),0)</f>
        <v>1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>H-42</v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H-42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H42:H49</v>
      </c>
    </row>
    <row r="38" spans="1:16" ht="15.6" thickTop="1" thickBot="1" x14ac:dyDescent="0.35">
      <c r="A38" s="52" t="str">
        <f>IFERROR(IF(Datos!$A38="","",Idiomas!$A$12&amp;" "&amp;ROW()-1),"")</f>
        <v>Tarea 37</v>
      </c>
      <c r="B38" s="53">
        <f>IFERROR(MATCH(Datos!$A38,Configura!$B$9:$B$18,0),0)</f>
        <v>2</v>
      </c>
      <c r="C38" s="53">
        <f>IFERROR(MATCH(Datos!$B38,Configura!$D$9:$D$11,0),0)</f>
        <v>1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>H-33</v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H-33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H33:H40</v>
      </c>
    </row>
    <row r="39" spans="1:16" ht="15.6" thickTop="1" thickBot="1" x14ac:dyDescent="0.35">
      <c r="A39" s="56" t="str">
        <f>IFERROR(IF(Datos!$A39="","",Idiomas!$A$12&amp;" "&amp;ROW()-1),"")</f>
        <v>Tarea 38</v>
      </c>
      <c r="B39" s="57">
        <f>IFERROR(MATCH(Datos!$A39,Configura!$B$9:$B$18,0),0)</f>
        <v>2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>H-24</v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H-24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H24:H31</v>
      </c>
    </row>
    <row r="40" spans="1:16" ht="15.6" thickTop="1" thickBot="1" x14ac:dyDescent="0.35">
      <c r="A40" s="52" t="str">
        <f>IFERROR(IF(Datos!$A40="","",Idiomas!$A$12&amp;" "&amp;ROW()-1),"")</f>
        <v>Tarea 39</v>
      </c>
      <c r="B40" s="53">
        <f>IFERROR(MATCH(Datos!$A40,Configura!$B$9:$B$18,0),0)</f>
        <v>2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>H-15</v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H-15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H15:H22</v>
      </c>
    </row>
    <row r="41" spans="1:16" ht="15.6" thickTop="1" thickBot="1" x14ac:dyDescent="0.35">
      <c r="A41" s="56" t="str">
        <f>IFERROR(IF(Datos!$A41="","",Idiomas!$A$12&amp;" "&amp;ROW()-1),"")</f>
        <v>Tarea 40</v>
      </c>
      <c r="B41" s="57">
        <f>IFERROR(MATCH(Datos!$A41,Configura!$B$9:$B$18,0),0)</f>
        <v>2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>H-6</v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H-6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H6:H13</v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5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>W-6</v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W-6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W6:W13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1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40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30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>
        <f t="shared" ref="X3:X34" ca="1" si="4">IF(W3&gt;W2,IFERROR(IF(Z$1="v",SMALL(V$2:V$101,W3),LARGE(V$2:V$101,W3)),""),X2)</f>
        <v>84</v>
      </c>
      <c r="Y3" s="20" cm="1">
        <f t="array" aca="1" ref="Y3" ca="1">IF(X3="","",IF(X3&lt;&gt;X2,1,IF(Y2=misLíneas-2,0,Y2+1)))</f>
        <v>1</v>
      </c>
      <c r="Z3" s="20" t="str" cm="1">
        <f t="array" aca="1" ref="Z3" ca="1">IF(OR(Y3=0,Y3=""),"",INDEX(misCriticidades,X3)&amp;"-"&amp;IFERROR(MATCH(Y3,miOrdenTarjeta,0),0))</f>
        <v>3-1</v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40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30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>
        <f t="shared" ca="1" si="4"/>
        <v>84</v>
      </c>
      <c r="Y4" s="20" cm="1">
        <f t="array" aca="1" ref="Y4" ca="1">IF(X4="","",IF(X4&lt;&gt;X3,1,IF(Y3=misLíneas-2,0,Y3+1)))</f>
        <v>2</v>
      </c>
      <c r="Z4" s="20" t="str" cm="1">
        <f t="array" aca="1" ref="Z4" ca="1">IF(OR(Y4=0,Y4=""),"",INDEX(misCriticidades,X4)&amp;"-"&amp;IFERROR(MATCH(Y4,miOrdenTarjeta,0),0))</f>
        <v>3-2</v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40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30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>
        <f t="shared" ca="1" si="4"/>
        <v>84</v>
      </c>
      <c r="Y5" s="20" cm="1">
        <f t="array" aca="1" ref="Y5" ca="1">IF(X5="","",IF(X5&lt;&gt;X4,1,IF(Y4=misLíneas-2,0,Y4+1)))</f>
        <v>3</v>
      </c>
      <c r="Z5" s="20" t="str" cm="1">
        <f t="array" aca="1" ref="Z5" ca="1">IF(OR(Y5=0,Y5=""),"",INDEX(misCriticidades,X5)&amp;"-"&amp;IFERROR(MATCH(Y5,miOrdenTarjeta,0),0))</f>
        <v>3-3</v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40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30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>
        <f t="shared" ca="1" si="4"/>
        <v>84</v>
      </c>
      <c r="Y6" s="20" cm="1">
        <f t="array" aca="1" ref="Y6" ca="1">IF(X6="","",IF(X6&lt;&gt;X5,1,IF(Y5=misLíneas-2,0,Y5+1)))</f>
        <v>4</v>
      </c>
      <c r="Z6" s="20" t="str" cm="1">
        <f t="array" aca="1" ref="Z6" ca="1">IF(OR(Y6=0,Y6=""),"",INDEX(misCriticidades,X6)&amp;"-"&amp;IFERROR(MATCH(Y6,miOrdenTarjeta,0),0))</f>
        <v>3-4</v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40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30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>
        <f t="shared" ca="1" si="4"/>
        <v>84</v>
      </c>
      <c r="Y7" s="20" cm="1">
        <f t="array" aca="1" ref="Y7" ca="1">IF(X7="","",IF(X7&lt;&gt;X6,1,IF(Y6=misLíneas-2,0,Y6+1)))</f>
        <v>5</v>
      </c>
      <c r="Z7" s="20" t="str" cm="1">
        <f t="array" aca="1" ref="Z7" ca="1">IF(OR(Y7=0,Y7=""),"",INDEX(misCriticidades,X7)&amp;"-"&amp;IFERROR(MATCH(Y7,miOrdenTarjeta,0),0))</f>
        <v>3-5</v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40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30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>
        <f t="shared" ca="1" si="4"/>
        <v>84</v>
      </c>
      <c r="Y8" s="20" cm="1">
        <f t="array" aca="1" ref="Y8" ca="1">IF(X8="","",IF(X8&lt;&gt;X7,1,IF(Y7=misLíneas-2,0,Y7+1)))</f>
        <v>6</v>
      </c>
      <c r="Z8" s="20" t="str" cm="1">
        <f t="array" aca="1" ref="Z8" ca="1">IF(OR(Y8=0,Y8=""),"",INDEX(misCriticidades,X8)&amp;"-"&amp;IFERROR(MATCH(Y8,miOrdenTarjeta,0),0))</f>
        <v>3-6</v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40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30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>
        <f t="shared" ca="1" si="4"/>
        <v>84</v>
      </c>
      <c r="Y9" s="20" cm="1">
        <f t="array" aca="1" ref="Y9" ca="1">IF(X9="","",IF(X9&lt;&gt;X8,1,IF(Y8=misLíneas-2,0,Y8+1)))</f>
        <v>7</v>
      </c>
      <c r="Z9" s="20" t="str" cm="1">
        <f t="array" aca="1" ref="Z9" ca="1">IF(OR(Y9=0,Y9=""),"",INDEX(misCriticidades,X9)&amp;"-"&amp;IFERROR(MATCH(Y9,miOrdenTarjeta,0),0))</f>
        <v>3-7</v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40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30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>
        <f t="shared" ca="1" si="4"/>
        <v>84</v>
      </c>
      <c r="Y10" s="20" cm="1">
        <f t="array" aca="1" ref="Y10" ca="1">IF(X10="","",IF(X10&lt;&gt;X9,1,IF(Y9=misLíneas-2,0,Y9+1)))</f>
        <v>8</v>
      </c>
      <c r="Z10" s="20" t="str" cm="1">
        <f t="array" aca="1" ref="Z10" ca="1">IF(OR(Y10=0,Y10=""),"",INDEX(misCriticidades,X10)&amp;"-"&amp;IFERROR(MATCH(Y10,miOrdenTarjeta,0),0))</f>
        <v>3-8</v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40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30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>
        <f t="shared" ca="1" si="4"/>
        <v>84</v>
      </c>
      <c r="Y11" s="20" cm="1">
        <f t="array" aca="1" ref="Y11" ca="1">IF(X11="","",IF(X11&lt;&gt;X10,1,IF(Y10=misLíneas-2,0,Y10+1)))</f>
        <v>0</v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>
        <f t="shared" ca="1" si="1"/>
        <v>39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29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2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>
        <f t="shared" ca="1" si="1"/>
        <v>39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29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2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>
        <f t="shared" ca="1" si="1"/>
        <v>39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29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2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>
        <f t="shared" ca="1" si="1"/>
        <v>39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29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2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>
        <f t="shared" ca="1" si="1"/>
        <v>39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29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2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>
        <f t="shared" ca="1" si="1"/>
        <v>39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29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2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39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29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2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39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29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2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39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29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2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38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28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2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38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28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2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38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28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2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38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28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2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38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28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2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38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28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2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38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28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2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38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28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2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38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28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2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>
        <f t="shared" ca="1" si="1"/>
        <v>37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1-1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27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2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>
        <f t="shared" ca="1" si="1"/>
        <v>37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1-2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27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2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>
        <f ca="1"/>
        <v>31</v>
      </c>
      <c r="H32" s="20">
        <f t="shared" ca="1" si="11"/>
        <v>4</v>
      </c>
      <c r="I32" s="20">
        <f t="shared" ca="1" si="1"/>
        <v>37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1-3</v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27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2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>
        <f ca="1"/>
        <v>32</v>
      </c>
      <c r="H33" s="20">
        <f t="shared" ca="1" si="11"/>
        <v>4</v>
      </c>
      <c r="I33" s="20">
        <f t="shared" ca="1" si="1"/>
        <v>37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1-4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27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2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>
        <f ca="1"/>
        <v>33</v>
      </c>
      <c r="H34" s="20">
        <f t="shared" ca="1" si="11"/>
        <v>4</v>
      </c>
      <c r="I34" s="20">
        <f t="shared" ca="1" si="1"/>
        <v>37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1-5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27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2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>
        <f ca="1"/>
        <v>34</v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37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1-6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27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2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>
        <f ca="1"/>
        <v>35</v>
      </c>
      <c r="H36" s="20">
        <f t="shared" ca="1" si="11"/>
        <v>4</v>
      </c>
      <c r="I36" s="20">
        <f t="shared" ca="1" si="22"/>
        <v>37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1-7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27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2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>
        <f ca="1"/>
        <v>36</v>
      </c>
      <c r="H37" s="20">
        <f t="shared" ca="1" si="11"/>
        <v>4</v>
      </c>
      <c r="I37" s="20">
        <f t="shared" ca="1" si="22"/>
        <v>37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1-8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27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2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>
        <f ca="1"/>
        <v>37</v>
      </c>
      <c r="H38" s="20">
        <f t="shared" ca="1" si="11"/>
        <v>4</v>
      </c>
      <c r="I38" s="20">
        <f t="shared" ca="1" si="22"/>
        <v>37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27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2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>
        <f ca="1"/>
        <v>38</v>
      </c>
      <c r="H39" s="20">
        <f t="shared" ca="1" si="11"/>
        <v>5</v>
      </c>
      <c r="I39" s="20">
        <f t="shared" ca="1" si="22"/>
        <v>36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1-1</v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26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2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>
        <f ca="1"/>
        <v>39</v>
      </c>
      <c r="H40" s="20">
        <f t="shared" ca="1" si="11"/>
        <v>5</v>
      </c>
      <c r="I40" s="20">
        <f t="shared" ca="1" si="22"/>
        <v>36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1-2</v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26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2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>
        <f ca="1"/>
        <v>40</v>
      </c>
      <c r="H41" s="20">
        <f t="shared" ca="1" si="11"/>
        <v>5</v>
      </c>
      <c r="I41" s="20">
        <f t="shared" ca="1" si="22"/>
        <v>36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1-3</v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26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2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5</v>
      </c>
      <c r="I42" s="20">
        <f t="shared" ca="1" si="22"/>
        <v>36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1-4</v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26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2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5</v>
      </c>
      <c r="I43" s="20">
        <f t="shared" ca="1" si="22"/>
        <v>36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1-5</v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26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2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5</v>
      </c>
      <c r="I44" s="20">
        <f t="shared" ca="1" si="22"/>
        <v>36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1-6</v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26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2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5</v>
      </c>
      <c r="I45" s="20">
        <f t="shared" ca="1" si="22"/>
        <v>36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1-7</v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26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2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5</v>
      </c>
      <c r="I46" s="20">
        <f t="shared" ca="1" si="22"/>
        <v>36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1-8</v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26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2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36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26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2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6</v>
      </c>
      <c r="I48" s="20">
        <f t="shared" ca="1" si="22"/>
        <v>35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1-1</v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25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2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6</v>
      </c>
      <c r="I49" s="20">
        <f t="shared" ca="1" si="22"/>
        <v>35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1-2</v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25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2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6</v>
      </c>
      <c r="I50" s="20">
        <f t="shared" ca="1" si="22"/>
        <v>35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1-3</v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25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2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6</v>
      </c>
      <c r="I51" s="20">
        <f t="shared" ca="1" si="22"/>
        <v>35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1-4</v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25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2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6</v>
      </c>
      <c r="I52" s="20">
        <f t="shared" ca="1" si="22"/>
        <v>35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1-5</v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25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2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6</v>
      </c>
      <c r="I53" s="20">
        <f t="shared" ca="1" si="22"/>
        <v>35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1-6</v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25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2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6</v>
      </c>
      <c r="I54" s="20">
        <f t="shared" ca="1" si="22"/>
        <v>35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1-7</v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25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2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6</v>
      </c>
      <c r="I55" s="20">
        <f t="shared" ca="1" si="22"/>
        <v>35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1-8</v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25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2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35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25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2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7</v>
      </c>
      <c r="I57" s="20">
        <f t="shared" ca="1" si="22"/>
        <v>34</v>
      </c>
      <c r="J57" s="20" cm="1">
        <f t="array" aca="1" ref="J57" ca="1">IF(I57="","",IF(I57&lt;&gt;I56,1,IF(J56=misLíneas-2,0,J56+1)))</f>
        <v>1</v>
      </c>
      <c r="K57" s="20" t="str" cm="1">
        <f t="array" aca="1" ref="K57" ca="1">IF(OR(J57=0,J57=""),"",INDEX(misCriticidades,I57)&amp;"-"&amp;IFERROR(MATCH(J57,miOrdenTarjeta,0),0))</f>
        <v>1-1</v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24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2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7</v>
      </c>
      <c r="I58" s="20">
        <f t="shared" ca="1" si="22"/>
        <v>34</v>
      </c>
      <c r="J58" s="20" cm="1">
        <f t="array" aca="1" ref="J58" ca="1">IF(I58="","",IF(I58&lt;&gt;I57,1,IF(J57=misLíneas-2,0,J57+1)))</f>
        <v>2</v>
      </c>
      <c r="K58" s="20" t="str" cm="1">
        <f t="array" aca="1" ref="K58" ca="1">IF(OR(J58=0,J58=""),"",INDEX(misCriticidades,I58)&amp;"-"&amp;IFERROR(MATCH(J58,miOrdenTarjeta,0),0))</f>
        <v>1-2</v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24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2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7</v>
      </c>
      <c r="I59" s="20">
        <f t="shared" ca="1" si="22"/>
        <v>34</v>
      </c>
      <c r="J59" s="20" cm="1">
        <f t="array" aca="1" ref="J59" ca="1">IF(I59="","",IF(I59&lt;&gt;I58,1,IF(J58=misLíneas-2,0,J58+1)))</f>
        <v>3</v>
      </c>
      <c r="K59" s="20" t="str" cm="1">
        <f t="array" aca="1" ref="K59" ca="1">IF(OR(J59=0,J59=""),"",INDEX(misCriticidades,I59)&amp;"-"&amp;IFERROR(MATCH(J59,miOrdenTarjeta,0),0))</f>
        <v>1-3</v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24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2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7</v>
      </c>
      <c r="I60" s="20">
        <f t="shared" ca="1" si="22"/>
        <v>34</v>
      </c>
      <c r="J60" s="20" cm="1">
        <f t="array" aca="1" ref="J60" ca="1">IF(I60="","",IF(I60&lt;&gt;I59,1,IF(J59=misLíneas-2,0,J59+1)))</f>
        <v>4</v>
      </c>
      <c r="K60" s="20" t="str" cm="1">
        <f t="array" aca="1" ref="K60" ca="1">IF(OR(J60=0,J60=""),"",INDEX(misCriticidades,I60)&amp;"-"&amp;IFERROR(MATCH(J60,miOrdenTarjeta,0),0))</f>
        <v>1-4</v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24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2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7</v>
      </c>
      <c r="I61" s="20">
        <f t="shared" ca="1" si="22"/>
        <v>34</v>
      </c>
      <c r="J61" s="20" cm="1">
        <f t="array" aca="1" ref="J61" ca="1">IF(I61="","",IF(I61&lt;&gt;I60,1,IF(J60=misLíneas-2,0,J60+1)))</f>
        <v>5</v>
      </c>
      <c r="K61" s="20" t="str" cm="1">
        <f t="array" aca="1" ref="K61" ca="1">IF(OR(J61=0,J61=""),"",INDEX(misCriticidades,I61)&amp;"-"&amp;IFERROR(MATCH(J61,miOrdenTarjeta,0),0))</f>
        <v>1-5</v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24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2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7</v>
      </c>
      <c r="I62" s="20">
        <f t="shared" ca="1" si="22"/>
        <v>34</v>
      </c>
      <c r="J62" s="20" cm="1">
        <f t="array" aca="1" ref="J62" ca="1">IF(I62="","",IF(I62&lt;&gt;I61,1,IF(J61=misLíneas-2,0,J61+1)))</f>
        <v>6</v>
      </c>
      <c r="K62" s="20" t="str" cm="1">
        <f t="array" aca="1" ref="K62" ca="1">IF(OR(J62=0,J62=""),"",INDEX(misCriticidades,I62)&amp;"-"&amp;IFERROR(MATCH(J62,miOrdenTarjeta,0),0))</f>
        <v>1-6</v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24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2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7</v>
      </c>
      <c r="I63" s="20">
        <f t="shared" ca="1" si="22"/>
        <v>34</v>
      </c>
      <c r="J63" s="20" cm="1">
        <f t="array" aca="1" ref="J63" ca="1">IF(I63="","",IF(I63&lt;&gt;I62,1,IF(J62=misLíneas-2,0,J62+1)))</f>
        <v>7</v>
      </c>
      <c r="K63" s="20" t="str" cm="1">
        <f t="array" aca="1" ref="K63" ca="1">IF(OR(J63=0,J63=""),"",INDEX(misCriticidades,I63)&amp;"-"&amp;IFERROR(MATCH(J63,miOrdenTarjeta,0),0))</f>
        <v>1-7</v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24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2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7</v>
      </c>
      <c r="I64" s="20">
        <f t="shared" ca="1" si="22"/>
        <v>34</v>
      </c>
      <c r="J64" s="20" cm="1">
        <f t="array" aca="1" ref="J64" ca="1">IF(I64="","",IF(I64&lt;&gt;I63,1,IF(J63=misLíneas-2,0,J63+1)))</f>
        <v>8</v>
      </c>
      <c r="K64" s="20" t="str" cm="1">
        <f t="array" aca="1" ref="K64" ca="1">IF(OR(J64=0,J64=""),"",INDEX(misCriticidades,I64)&amp;"-"&amp;IFERROR(MATCH(J64,miOrdenTarjeta,0),0))</f>
        <v>1-8</v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24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2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7</v>
      </c>
      <c r="I65" s="20">
        <f t="shared" ca="1" si="22"/>
        <v>34</v>
      </c>
      <c r="J65" s="20" cm="1">
        <f t="array" aca="1" ref="J65" ca="1">IF(I65="","",IF(I65&lt;&gt;I64,1,IF(J64=misLíneas-2,0,J64+1)))</f>
        <v>0</v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24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2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8</v>
      </c>
      <c r="I66" s="20">
        <f t="shared" ca="1" si="22"/>
        <v>33</v>
      </c>
      <c r="J66" s="20" cm="1">
        <f t="array" aca="1" ref="J66" ca="1">IF(I66="","",IF(I66&lt;&gt;I65,1,IF(J65=misLíneas-2,0,J65+1)))</f>
        <v>1</v>
      </c>
      <c r="K66" s="20" t="str" cm="1">
        <f t="array" aca="1" ref="K66" ca="1">IF(OR(J66=0,J66=""),"",INDEX(misCriticidades,I66)&amp;"-"&amp;IFERROR(MATCH(J66,miOrdenTarjeta,0),0))</f>
        <v>1-1</v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23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2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8</v>
      </c>
      <c r="I67" s="20">
        <f t="shared" ref="I67:I98" ca="1" si="27">IF(H67&gt;H66,IFERROR(IF(K$1="v",SMALL(G$2:G$101,H67),LARGE(G$2:G$101,H67)),""),I66)</f>
        <v>33</v>
      </c>
      <c r="J67" s="20" cm="1">
        <f t="array" aca="1" ref="J67" ca="1">IF(I67="","",IF(I67&lt;&gt;I66,1,IF(J66=misLíneas-2,0,J66+1)))</f>
        <v>2</v>
      </c>
      <c r="K67" s="20" t="str" cm="1">
        <f t="array" aca="1" ref="K67" ca="1">IF(OR(J67=0,J67=""),"",INDEX(misCriticidades,I67)&amp;"-"&amp;IFERROR(MATCH(J67,miOrdenTarjeta,0),0))</f>
        <v>1-2</v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23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2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8</v>
      </c>
      <c r="I68" s="20">
        <f t="shared" ca="1" si="27"/>
        <v>33</v>
      </c>
      <c r="J68" s="20" cm="1">
        <f t="array" aca="1" ref="J68" ca="1">IF(I68="","",IF(I68&lt;&gt;I67,1,IF(J67=misLíneas-2,0,J67+1)))</f>
        <v>3</v>
      </c>
      <c r="K68" s="20" t="str" cm="1">
        <f t="array" aca="1" ref="K68" ca="1">IF(OR(J68=0,J68=""),"",INDEX(misCriticidades,I68)&amp;"-"&amp;IFERROR(MATCH(J68,miOrdenTarjeta,0),0))</f>
        <v>1-3</v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23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2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8</v>
      </c>
      <c r="I69" s="20">
        <f t="shared" ca="1" si="27"/>
        <v>33</v>
      </c>
      <c r="J69" s="20" cm="1">
        <f t="array" aca="1" ref="J69" ca="1">IF(I69="","",IF(I69&lt;&gt;I68,1,IF(J68=misLíneas-2,0,J68+1)))</f>
        <v>4</v>
      </c>
      <c r="K69" s="20" t="str" cm="1">
        <f t="array" aca="1" ref="K69" ca="1">IF(OR(J69=0,J69=""),"",INDEX(misCriticidades,I69)&amp;"-"&amp;IFERROR(MATCH(J69,miOrdenTarjeta,0),0))</f>
        <v>1-4</v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23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2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8</v>
      </c>
      <c r="I70" s="20">
        <f t="shared" ca="1" si="27"/>
        <v>33</v>
      </c>
      <c r="J70" s="20" cm="1">
        <f t="array" aca="1" ref="J70" ca="1">IF(I70="","",IF(I70&lt;&gt;I69,1,IF(J69=misLíneas-2,0,J69+1)))</f>
        <v>5</v>
      </c>
      <c r="K70" s="20" t="str" cm="1">
        <f t="array" aca="1" ref="K70" ca="1">IF(OR(J70=0,J70=""),"",INDEX(misCriticidades,I70)&amp;"-"&amp;IFERROR(MATCH(J70,miOrdenTarjeta,0),0))</f>
        <v>1-5</v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23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2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8</v>
      </c>
      <c r="I71" s="20">
        <f t="shared" ca="1" si="27"/>
        <v>33</v>
      </c>
      <c r="J71" s="20" cm="1">
        <f t="array" aca="1" ref="J71" ca="1">IF(I71="","",IF(I71&lt;&gt;I70,1,IF(J70=misLíneas-2,0,J70+1)))</f>
        <v>6</v>
      </c>
      <c r="K71" s="20" t="str" cm="1">
        <f t="array" aca="1" ref="K71" ca="1">IF(OR(J71=0,J71=""),"",INDEX(misCriticidades,I71)&amp;"-"&amp;IFERROR(MATCH(J71,miOrdenTarjeta,0),0))</f>
        <v>1-6</v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23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2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8</v>
      </c>
      <c r="I72" s="20">
        <f t="shared" ca="1" si="27"/>
        <v>33</v>
      </c>
      <c r="J72" s="20" cm="1">
        <f t="array" aca="1" ref="J72" ca="1">IF(I72="","",IF(I72&lt;&gt;I71,1,IF(J71=misLíneas-2,0,J71+1)))</f>
        <v>7</v>
      </c>
      <c r="K72" s="20" t="str" cm="1">
        <f t="array" aca="1" ref="K72" ca="1">IF(OR(J72=0,J72=""),"",INDEX(misCriticidades,I72)&amp;"-"&amp;IFERROR(MATCH(J72,miOrdenTarjeta,0),0))</f>
        <v>1-7</v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23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2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8</v>
      </c>
      <c r="I73" s="20">
        <f t="shared" ca="1" si="27"/>
        <v>33</v>
      </c>
      <c r="J73" s="20" cm="1">
        <f t="array" aca="1" ref="J73" ca="1">IF(I73="","",IF(I73&lt;&gt;I72,1,IF(J72=misLíneas-2,0,J72+1)))</f>
        <v>8</v>
      </c>
      <c r="K73" s="20" t="str" cm="1">
        <f t="array" aca="1" ref="K73" ca="1">IF(OR(J73=0,J73=""),"",INDEX(misCriticidades,I73)&amp;"-"&amp;IFERROR(MATCH(J73,miOrdenTarjeta,0),0))</f>
        <v>1-8</v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23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2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8</v>
      </c>
      <c r="I74" s="20">
        <f t="shared" ca="1" si="27"/>
        <v>33</v>
      </c>
      <c r="J74" s="20" cm="1">
        <f t="array" aca="1" ref="J74" ca="1">IF(I74="","",IF(I74&lt;&gt;I73,1,IF(J73=misLíneas-2,0,J73+1)))</f>
        <v>0</v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23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2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9</v>
      </c>
      <c r="I75" s="20">
        <f t="shared" ca="1" si="27"/>
        <v>32</v>
      </c>
      <c r="J75" s="20" cm="1">
        <f t="array" aca="1" ref="J75" ca="1">IF(I75="","",IF(I75&lt;&gt;I74,1,IF(J74=misLíneas-2,0,J74+1)))</f>
        <v>1</v>
      </c>
      <c r="K75" s="20" t="str" cm="1">
        <f t="array" aca="1" ref="K75" ca="1">IF(OR(J75=0,J75=""),"",INDEX(misCriticidades,I75)&amp;"-"&amp;IFERROR(MATCH(J75,miOrdenTarjeta,0),0))</f>
        <v>1-1</v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22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2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9</v>
      </c>
      <c r="I76" s="20">
        <f t="shared" ca="1" si="27"/>
        <v>32</v>
      </c>
      <c r="J76" s="20" cm="1">
        <f t="array" aca="1" ref="J76" ca="1">IF(I76="","",IF(I76&lt;&gt;I75,1,IF(J75=misLíneas-2,0,J75+1)))</f>
        <v>2</v>
      </c>
      <c r="K76" s="20" t="str" cm="1">
        <f t="array" aca="1" ref="K76" ca="1">IF(OR(J76=0,J76=""),"",INDEX(misCriticidades,I76)&amp;"-"&amp;IFERROR(MATCH(J76,miOrdenTarjeta,0),0))</f>
        <v>1-2</v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22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2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9</v>
      </c>
      <c r="I77" s="20">
        <f t="shared" ca="1" si="27"/>
        <v>32</v>
      </c>
      <c r="J77" s="20" cm="1">
        <f t="array" aca="1" ref="J77" ca="1">IF(I77="","",IF(I77&lt;&gt;I76,1,IF(J76=misLíneas-2,0,J76+1)))</f>
        <v>3</v>
      </c>
      <c r="K77" s="20" t="str" cm="1">
        <f t="array" aca="1" ref="K77" ca="1">IF(OR(J77=0,J77=""),"",INDEX(misCriticidades,I77)&amp;"-"&amp;IFERROR(MATCH(J77,miOrdenTarjeta,0),0))</f>
        <v>1-3</v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22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2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9</v>
      </c>
      <c r="I78" s="20">
        <f t="shared" ca="1" si="27"/>
        <v>32</v>
      </c>
      <c r="J78" s="20" cm="1">
        <f t="array" aca="1" ref="J78" ca="1">IF(I78="","",IF(I78&lt;&gt;I77,1,IF(J77=misLíneas-2,0,J77+1)))</f>
        <v>4</v>
      </c>
      <c r="K78" s="20" t="str" cm="1">
        <f t="array" aca="1" ref="K78" ca="1">IF(OR(J78=0,J78=""),"",INDEX(misCriticidades,I78)&amp;"-"&amp;IFERROR(MATCH(J78,miOrdenTarjeta,0),0))</f>
        <v>1-4</v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22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2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9</v>
      </c>
      <c r="I79" s="20">
        <f t="shared" ca="1" si="27"/>
        <v>32</v>
      </c>
      <c r="J79" s="20" cm="1">
        <f t="array" aca="1" ref="J79" ca="1">IF(I79="","",IF(I79&lt;&gt;I78,1,IF(J78=misLíneas-2,0,J78+1)))</f>
        <v>5</v>
      </c>
      <c r="K79" s="20" t="str" cm="1">
        <f t="array" aca="1" ref="K79" ca="1">IF(OR(J79=0,J79=""),"",INDEX(misCriticidades,I79)&amp;"-"&amp;IFERROR(MATCH(J79,miOrdenTarjeta,0),0))</f>
        <v>1-5</v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22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2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9</v>
      </c>
      <c r="I80" s="20">
        <f t="shared" ca="1" si="27"/>
        <v>32</v>
      </c>
      <c r="J80" s="20" cm="1">
        <f t="array" aca="1" ref="J80" ca="1">IF(I80="","",IF(I80&lt;&gt;I79,1,IF(J79=misLíneas-2,0,J79+1)))</f>
        <v>6</v>
      </c>
      <c r="K80" s="20" t="str" cm="1">
        <f t="array" aca="1" ref="K80" ca="1">IF(OR(J80=0,J80=""),"",INDEX(misCriticidades,I80)&amp;"-"&amp;IFERROR(MATCH(J80,miOrdenTarjeta,0),0))</f>
        <v>1-6</v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22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2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9</v>
      </c>
      <c r="I81" s="20">
        <f t="shared" ca="1" si="27"/>
        <v>32</v>
      </c>
      <c r="J81" s="20" cm="1">
        <f t="array" aca="1" ref="J81" ca="1">IF(I81="","",IF(I81&lt;&gt;I80,1,IF(J80=misLíneas-2,0,J80+1)))</f>
        <v>7</v>
      </c>
      <c r="K81" s="20" t="str" cm="1">
        <f t="array" aca="1" ref="K81" ca="1">IF(OR(J81=0,J81=""),"",INDEX(misCriticidades,I81)&amp;"-"&amp;IFERROR(MATCH(J81,miOrdenTarjeta,0),0))</f>
        <v>1-7</v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22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2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9</v>
      </c>
      <c r="I82" s="20">
        <f t="shared" ca="1" si="27"/>
        <v>32</v>
      </c>
      <c r="J82" s="20" cm="1">
        <f t="array" aca="1" ref="J82" ca="1">IF(I82="","",IF(I82&lt;&gt;I81,1,IF(J81=misLíneas-2,0,J81+1)))</f>
        <v>8</v>
      </c>
      <c r="K82" s="20" t="str" cm="1">
        <f t="array" aca="1" ref="K82" ca="1">IF(OR(J82=0,J82=""),"",INDEX(misCriticidades,I82)&amp;"-"&amp;IFERROR(MATCH(J82,miOrdenTarjeta,0),0))</f>
        <v>1-8</v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22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2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9</v>
      </c>
      <c r="I83" s="20">
        <f t="shared" ca="1" si="27"/>
        <v>32</v>
      </c>
      <c r="J83" s="20" cm="1">
        <f t="array" aca="1" ref="J83" ca="1">IF(I83="","",IF(I83&lt;&gt;I82,1,IF(J82=misLíneas-2,0,J82+1)))</f>
        <v>0</v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22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2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10</v>
      </c>
      <c r="I84" s="20">
        <f t="shared" ca="1" si="27"/>
        <v>31</v>
      </c>
      <c r="J84" s="20" cm="1">
        <f t="array" aca="1" ref="J84" ca="1">IF(I84="","",IF(I84&lt;&gt;I83,1,IF(J83=misLíneas-2,0,J83+1)))</f>
        <v>1</v>
      </c>
      <c r="K84" s="20" t="str" cm="1">
        <f t="array" aca="1" ref="K84" ca="1">IF(OR(J84=0,J84=""),"",INDEX(misCriticidades,I84)&amp;"-"&amp;IFERROR(MATCH(J84,miOrdenTarjeta,0),0))</f>
        <v>1-1</v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21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2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10</v>
      </c>
      <c r="I85" s="20">
        <f t="shared" ca="1" si="27"/>
        <v>31</v>
      </c>
      <c r="J85" s="20" cm="1">
        <f t="array" aca="1" ref="J85" ca="1">IF(I85="","",IF(I85&lt;&gt;I84,1,IF(J84=misLíneas-2,0,J84+1)))</f>
        <v>2</v>
      </c>
      <c r="K85" s="20" t="str" cm="1">
        <f t="array" aca="1" ref="K85" ca="1">IF(OR(J85=0,J85=""),"",INDEX(misCriticidades,I85)&amp;"-"&amp;IFERROR(MATCH(J85,miOrdenTarjeta,0),0))</f>
        <v>1-2</v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21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>
        <f ca="1"/>
        <v>84</v>
      </c>
      <c r="W85" s="20">
        <f t="shared" ca="1" si="39"/>
        <v>2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10</v>
      </c>
      <c r="I86" s="20">
        <f t="shared" ca="1" si="27"/>
        <v>31</v>
      </c>
      <c r="J86" s="20" cm="1">
        <f t="array" aca="1" ref="J86" ca="1">IF(I86="","",IF(I86&lt;&gt;I85,1,IF(J85=misLíneas-2,0,J85+1)))</f>
        <v>3</v>
      </c>
      <c r="K86" s="20" t="str" cm="1">
        <f t="array" aca="1" ref="K86" ca="1">IF(OR(J86=0,J86=""),"",INDEX(misCriticidades,I86)&amp;"-"&amp;IFERROR(MATCH(J86,miOrdenTarjeta,0),0))</f>
        <v>1-3</v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21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2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10</v>
      </c>
      <c r="I87" s="20">
        <f t="shared" ca="1" si="27"/>
        <v>31</v>
      </c>
      <c r="J87" s="20" cm="1">
        <f t="array" aca="1" ref="J87" ca="1">IF(I87="","",IF(I87&lt;&gt;I86,1,IF(J86=misLíneas-2,0,J86+1)))</f>
        <v>4</v>
      </c>
      <c r="K87" s="20" t="str" cm="1">
        <f t="array" aca="1" ref="K87" ca="1">IF(OR(J87=0,J87=""),"",INDEX(misCriticidades,I87)&amp;"-"&amp;IFERROR(MATCH(J87,miOrdenTarjeta,0),0))</f>
        <v>1-4</v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21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2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10</v>
      </c>
      <c r="I88" s="20">
        <f t="shared" ca="1" si="27"/>
        <v>31</v>
      </c>
      <c r="J88" s="20" cm="1">
        <f t="array" aca="1" ref="J88" ca="1">IF(I88="","",IF(I88&lt;&gt;I87,1,IF(J87=misLíneas-2,0,J87+1)))</f>
        <v>5</v>
      </c>
      <c r="K88" s="20" t="str" cm="1">
        <f t="array" aca="1" ref="K88" ca="1">IF(OR(J88=0,J88=""),"",INDEX(misCriticidades,I88)&amp;"-"&amp;IFERROR(MATCH(J88,miOrdenTarjeta,0),0))</f>
        <v>1-5</v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21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2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10</v>
      </c>
      <c r="I89" s="20">
        <f t="shared" ca="1" si="27"/>
        <v>31</v>
      </c>
      <c r="J89" s="20" cm="1">
        <f t="array" aca="1" ref="J89" ca="1">IF(I89="","",IF(I89&lt;&gt;I88,1,IF(J88=misLíneas-2,0,J88+1)))</f>
        <v>6</v>
      </c>
      <c r="K89" s="20" t="str" cm="1">
        <f t="array" aca="1" ref="K89" ca="1">IF(OR(J89=0,J89=""),"",INDEX(misCriticidades,I89)&amp;"-"&amp;IFERROR(MATCH(J89,miOrdenTarjeta,0),0))</f>
        <v>1-6</v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21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2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10</v>
      </c>
      <c r="I90" s="20">
        <f t="shared" ca="1" si="27"/>
        <v>31</v>
      </c>
      <c r="J90" s="20" cm="1">
        <f t="array" aca="1" ref="J90" ca="1">IF(I90="","",IF(I90&lt;&gt;I89,1,IF(J89=misLíneas-2,0,J89+1)))</f>
        <v>7</v>
      </c>
      <c r="K90" s="20" t="str" cm="1">
        <f t="array" aca="1" ref="K90" ca="1">IF(OR(J90=0,J90=""),"",INDEX(misCriticidades,I90)&amp;"-"&amp;IFERROR(MATCH(J90,miOrdenTarjeta,0),0))</f>
        <v>1-7</v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21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2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10</v>
      </c>
      <c r="I91" s="20">
        <f t="shared" ca="1" si="27"/>
        <v>31</v>
      </c>
      <c r="J91" s="20" cm="1">
        <f t="array" aca="1" ref="J91" ca="1">IF(I91="","",IF(I91&lt;&gt;I90,1,IF(J90=misLíneas-2,0,J90+1)))</f>
        <v>8</v>
      </c>
      <c r="K91" s="20" t="str" cm="1">
        <f t="array" aca="1" ref="K91" ca="1">IF(OR(J91=0,J91=""),"",INDEX(misCriticidades,I91)&amp;"-"&amp;IFERROR(MATCH(J91,miOrdenTarjeta,0),0))</f>
        <v>1-8</v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21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2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10</v>
      </c>
      <c r="I92" s="20">
        <f t="shared" ca="1" si="27"/>
        <v>31</v>
      </c>
      <c r="J92" s="20" cm="1">
        <f t="array" aca="1" ref="J92" ca="1">IF(I92="","",IF(I92&lt;&gt;I91,1,IF(J91=misLíneas-2,0,J91+1)))</f>
        <v>0</v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21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2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20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2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20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2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20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2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20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2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20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2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20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2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20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2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20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2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20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2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19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2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19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2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19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2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19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2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19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2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19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2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19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2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19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2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19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2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18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2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18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2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18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2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18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2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18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2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18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2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18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2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18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2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18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2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17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2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17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2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17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2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17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2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17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2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17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2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17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2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17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2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17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2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16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2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16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2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16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2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16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2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16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2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16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2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16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2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16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2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16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2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15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2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15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2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15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2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15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2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15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2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15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2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15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2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15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2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15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2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14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2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14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2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14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2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14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2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14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2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14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2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14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2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14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2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14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2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13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1-1</v>
      </c>
      <c r="W156" s="20">
        <f t="shared" ca="1" si="64"/>
        <v>2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13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1-2</v>
      </c>
      <c r="W157" s="20">
        <f t="shared" ca="1" si="64"/>
        <v>2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13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1-3</v>
      </c>
      <c r="W158" s="20">
        <f t="shared" ca="1" si="64"/>
        <v>2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13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1-4</v>
      </c>
      <c r="W159" s="20">
        <f t="shared" ca="1" si="64"/>
        <v>2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13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1-5</v>
      </c>
      <c r="W160" s="20">
        <f t="shared" ca="1" si="64"/>
        <v>2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13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1-6</v>
      </c>
      <c r="W161" s="20">
        <f t="shared" ca="1" si="64"/>
        <v>2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13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1-7</v>
      </c>
      <c r="W162" s="20">
        <f t="shared" ca="1" si="64"/>
        <v>2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13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1-8</v>
      </c>
      <c r="W163" s="20">
        <f t="shared" ca="1" si="64"/>
        <v>2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13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2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12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2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12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2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12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2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12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2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12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2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12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2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12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2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12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2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12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2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11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1-1</v>
      </c>
      <c r="W174" s="20">
        <f t="shared" ca="1" si="64"/>
        <v>2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11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1-2</v>
      </c>
      <c r="W175" s="20">
        <f t="shared" ca="1" si="64"/>
        <v>2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11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1-3</v>
      </c>
      <c r="W176" s="20">
        <f t="shared" ca="1" si="64"/>
        <v>2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11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1-4</v>
      </c>
      <c r="W177" s="20">
        <f t="shared" ca="1" si="64"/>
        <v>2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11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1-5</v>
      </c>
      <c r="W178" s="20">
        <f t="shared" ca="1" si="64"/>
        <v>2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11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1-6</v>
      </c>
      <c r="W179" s="20">
        <f t="shared" ca="1" si="64"/>
        <v>2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11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1-7</v>
      </c>
      <c r="W180" s="20">
        <f t="shared" ca="1" si="64"/>
        <v>2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11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1-8</v>
      </c>
      <c r="W181" s="20">
        <f t="shared" ca="1" si="64"/>
        <v>2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11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2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10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1-1</v>
      </c>
      <c r="W183" s="20">
        <f t="shared" ca="1" si="64"/>
        <v>2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10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1-2</v>
      </c>
      <c r="W184" s="20">
        <f t="shared" ca="1" si="64"/>
        <v>2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10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1-3</v>
      </c>
      <c r="W185" s="20">
        <f t="shared" ca="1" si="64"/>
        <v>2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10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1-4</v>
      </c>
      <c r="W186" s="20">
        <f t="shared" ca="1" si="64"/>
        <v>2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10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1-5</v>
      </c>
      <c r="W187" s="20">
        <f t="shared" ca="1" si="64"/>
        <v>2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10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1-6</v>
      </c>
      <c r="W188" s="20">
        <f t="shared" ca="1" si="64"/>
        <v>2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10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1-7</v>
      </c>
      <c r="W189" s="20">
        <f t="shared" ca="1" si="64"/>
        <v>2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10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1-8</v>
      </c>
      <c r="W190" s="20">
        <f t="shared" ca="1" si="64"/>
        <v>2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10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2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9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1-1</v>
      </c>
      <c r="W192" s="20">
        <f t="shared" ca="1" si="64"/>
        <v>2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9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1-2</v>
      </c>
      <c r="W193" s="20">
        <f t="shared" ca="1" si="64"/>
        <v>2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9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1-3</v>
      </c>
      <c r="W194" s="20">
        <f t="shared" ca="1" si="64"/>
        <v>2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9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1-4</v>
      </c>
      <c r="W195" s="20">
        <f t="shared" ca="1" si="64"/>
        <v>2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9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1-5</v>
      </c>
      <c r="W196" s="20">
        <f t="shared" ref="W196:W198" ca="1" si="89">W195--(Y195=0)</f>
        <v>2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9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1-6</v>
      </c>
      <c r="W197" s="20">
        <f t="shared" ca="1" si="89"/>
        <v>2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9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1-7</v>
      </c>
      <c r="W198" s="20">
        <f t="shared" ca="1" si="89"/>
        <v>2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1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Leo Bolaños</cp:lastModifiedBy>
  <cp:revision>0</cp:revision>
  <dcterms:created xsi:type="dcterms:W3CDTF">2022-12-26T11:27:14Z</dcterms:created>
  <dcterms:modified xsi:type="dcterms:W3CDTF">2026-01-16T16:53:49Z</dcterms:modified>
  <cp:category/>
  <cp:contentStatus/>
</cp:coreProperties>
</file>