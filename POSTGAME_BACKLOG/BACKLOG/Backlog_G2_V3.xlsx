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779A42F0-EFBE-4FE0-B8A4-E90E039385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D20" i="3" s="1"/>
  <c r="E20" i="3" l="1"/>
  <c r="F20" i="3" s="1"/>
  <c r="G20" i="3" s="1"/>
  <c r="H20" i="3" s="1"/>
  <c r="I20" i="3"/>
  <c r="C21" i="3" l="1"/>
  <c r="D21" i="3" s="1"/>
  <c r="E21" i="3" s="1"/>
  <c r="F21" i="3" s="1"/>
  <c r="G21" i="3" s="1"/>
  <c r="H21" i="3" s="1"/>
  <c r="I21" i="3" l="1"/>
</calcChain>
</file>

<file path=xl/sharedStrings.xml><?xml version="1.0" encoding="utf-8"?>
<sst xmlns="http://schemas.openxmlformats.org/spreadsheetml/2006/main" count="643" uniqueCount="210">
  <si>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</si>
  <si>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</si>
  <si>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</si>
  <si>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</si>
  <si>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</si>
  <si>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</si>
  <si>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</si>
  <si>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</si>
  <si>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</si>
  <si>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</si>
  <si>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</si>
  <si>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</si>
  <si>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</si>
  <si>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</si>
  <si>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</si>
  <si>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</si>
  <si>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</si>
  <si>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</si>
  <si>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</si>
  <si>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</si>
  <si>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</si>
  <si>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</si>
  <si>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</si>
  <si>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</si>
  <si>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</si>
  <si>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</si>
  <si>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Finalizado</t>
  </si>
  <si>
    <t xml:space="preserve">Finalizado </t>
  </si>
  <si>
    <t>Administrador</t>
  </si>
  <si>
    <t>SPRINT 1</t>
  </si>
  <si>
    <t>REQ002</t>
  </si>
  <si>
    <t>REQ003</t>
  </si>
  <si>
    <t>REQ004</t>
  </si>
  <si>
    <t>REQ005</t>
  </si>
  <si>
    <t>REQ006</t>
  </si>
  <si>
    <t>REQ007</t>
  </si>
  <si>
    <t>SPRINT 2</t>
  </si>
  <si>
    <t>Inicio de sesión seguro</t>
  </si>
  <si>
    <t>Admin / Vendedor</t>
  </si>
  <si>
    <t>Ingreso de productos</t>
  </si>
  <si>
    <t>Categorización</t>
  </si>
  <si>
    <t>Catálogo y Estados</t>
  </si>
  <si>
    <r>
      <t>Validar</t>
    </r>
    <r>
      <rPr>
        <sz val="11"/>
        <color theme="4"/>
        <rFont val="Arial"/>
        <family val="2"/>
      </rPr>
      <t xml:space="preserve"> las credenciales mediante un sistema de autenticación seguro</t>
    </r>
  </si>
  <si>
    <r>
      <t>Garantizar</t>
    </r>
    <r>
      <rPr>
        <sz val="11"/>
        <color theme="4"/>
        <rFont val="Arial"/>
        <family val="2"/>
      </rPr>
      <t xml:space="preserve"> el acceso controlado solo a usuarios autorizados.</t>
    </r>
  </si>
  <si>
    <r>
      <t>Registrar</t>
    </r>
    <r>
      <rPr>
        <sz val="11"/>
        <color theme="4"/>
        <rFont val="Arial"/>
        <family val="2"/>
      </rPr>
      <t xml:space="preserve"> y </t>
    </r>
    <r>
      <rPr>
        <b/>
        <sz val="11"/>
        <color theme="4"/>
        <rFont val="Arial"/>
        <family val="2"/>
      </rPr>
      <t>editar</t>
    </r>
    <r>
      <rPr>
        <sz val="11"/>
        <color theme="4"/>
        <rFont val="Arial"/>
        <family val="2"/>
      </rPr>
      <t xml:space="preserve"> productos validando el SKU único y costos</t>
    </r>
  </si>
  <si>
    <r>
      <t>Mantener</t>
    </r>
    <r>
      <rPr>
        <sz val="11"/>
        <color theme="4"/>
        <rFont val="Arial"/>
        <family val="2"/>
      </rPr>
      <t xml:space="preserve"> una ficha técnica completa y evitar duplicidad de datos.</t>
    </r>
  </si>
  <si>
    <r>
      <t>Clasificar</t>
    </r>
    <r>
      <rPr>
        <sz val="11"/>
        <color theme="4"/>
        <rFont val="Arial"/>
        <family val="2"/>
      </rPr>
      <t xml:space="preserve"> los repuestos por familias o categorías lógicas</t>
    </r>
  </si>
  <si>
    <r>
      <t>Agilizar</t>
    </r>
    <r>
      <rPr>
        <sz val="11"/>
        <color theme="4"/>
        <rFont val="Arial"/>
        <family val="2"/>
      </rPr>
      <t xml:space="preserve"> la búsqueda de piezas y organizar el inventario eficientemente.</t>
    </r>
  </si>
  <si>
    <r>
      <t>Gestionar</t>
    </r>
    <r>
      <rPr>
        <sz val="11"/>
        <color theme="4"/>
        <rFont val="Arial"/>
        <family val="2"/>
      </rPr>
      <t xml:space="preserve"> los estados (activo/inactivo) y la búsqueda por SKU</t>
    </r>
  </si>
  <si>
    <r>
      <t>Controlar</t>
    </r>
    <r>
      <rPr>
        <sz val="11"/>
        <color theme="4"/>
        <rFont val="Arial"/>
        <family val="2"/>
      </rPr>
      <t xml:space="preserve"> la visibilidad de los productos sin eliminar registros históricos.</t>
    </r>
  </si>
  <si>
    <t>SPRINT 3</t>
  </si>
  <si>
    <t>SPRINT 4</t>
  </si>
  <si>
    <t>Motivos de salida</t>
  </si>
  <si>
    <t>Historial (Kardex)</t>
  </si>
  <si>
    <t>Gestión de Usuarios</t>
  </si>
  <si>
    <t>REQ008</t>
  </si>
  <si>
    <t>Directorio Proveedores</t>
  </si>
  <si>
    <r>
      <t>Especificar</t>
    </r>
    <r>
      <rPr>
        <sz val="11"/>
        <color theme="4"/>
        <rFont val="Arial"/>
        <family val="2"/>
      </rPr>
      <t xml:space="preserve"> motivos de salida (venta, merma, daño) en el inventario</t>
    </r>
  </si>
  <si>
    <r>
      <t>Identificar</t>
    </r>
    <r>
      <rPr>
        <sz val="11"/>
        <color theme="4"/>
        <rFont val="Arial"/>
        <family val="2"/>
      </rPr>
      <t xml:space="preserve"> las causas exactas de la disminución de mercadería.</t>
    </r>
  </si>
  <si>
    <r>
      <t>Visualizar</t>
    </r>
    <r>
      <rPr>
        <sz val="11"/>
        <color theme="4"/>
        <rFont val="Arial"/>
        <family val="2"/>
      </rPr>
      <t xml:space="preserve"> el historial de movimientos en una tabla automática y filtrable</t>
    </r>
  </si>
  <si>
    <r>
      <t>Garantizar</t>
    </r>
    <r>
      <rPr>
        <sz val="11"/>
        <color theme="4"/>
        <rFont val="Arial"/>
        <family val="2"/>
      </rPr>
      <t xml:space="preserve"> la trazabilidad y auditoría de cada unidad de stock.</t>
    </r>
  </si>
  <si>
    <r>
      <t>Administrar</t>
    </r>
    <r>
      <rPr>
        <sz val="11"/>
        <color theme="4"/>
        <rFont val="Arial"/>
        <family val="2"/>
      </rPr>
      <t xml:space="preserve"> cuentas de usuario con roles y claves encriptadas</t>
    </r>
  </si>
  <si>
    <r>
      <t>Proteger</t>
    </r>
    <r>
      <rPr>
        <sz val="11"/>
        <color theme="4"/>
        <rFont val="Arial"/>
        <family val="2"/>
      </rPr>
      <t xml:space="preserve"> la información delicada restringiendo el acceso por perfil.</t>
    </r>
  </si>
  <si>
    <r>
      <t>Centralizar</t>
    </r>
    <r>
      <rPr>
        <sz val="11"/>
        <color theme="4"/>
        <rFont val="Arial"/>
        <family val="2"/>
      </rPr>
      <t xml:space="preserve"> los datos de contacto y RUC de los proveedores</t>
    </r>
  </si>
  <si>
    <r>
      <t>Realizar</t>
    </r>
    <r>
      <rPr>
        <sz val="11"/>
        <color theme="4"/>
        <rFont val="Arial"/>
        <family val="2"/>
      </rPr>
      <t xml:space="preserve"> pedidos de reposición de forma rápida cuando falte stock.</t>
    </r>
  </si>
  <si>
    <t>REQ009</t>
  </si>
  <si>
    <t>Gestión de Clientes</t>
  </si>
  <si>
    <t>REQ010</t>
  </si>
  <si>
    <t>Interfaz POS</t>
  </si>
  <si>
    <t>Vendedor</t>
  </si>
  <si>
    <t>REQ011</t>
  </si>
  <si>
    <t>Comprobantes PDF</t>
  </si>
  <si>
    <t>REQ012</t>
  </si>
  <si>
    <t>Cierre de Caja</t>
  </si>
  <si>
    <r>
      <t>Almacenar</t>
    </r>
    <r>
      <rPr>
        <sz val="11"/>
        <color theme="4"/>
        <rFont val="Arial"/>
        <family val="2"/>
      </rPr>
      <t xml:space="preserve"> los datos de clientes con validación de Cédula/RUC</t>
    </r>
  </si>
  <si>
    <r>
      <t>Agilizar</t>
    </r>
    <r>
      <rPr>
        <sz val="11"/>
        <color theme="4"/>
        <rFont val="Arial"/>
        <family val="2"/>
      </rPr>
      <t xml:space="preserve"> el proceso de facturación y fidelizar a los compradores.</t>
    </r>
  </si>
  <si>
    <r>
      <t>Utilizar</t>
    </r>
    <r>
      <rPr>
        <sz val="11"/>
        <color theme="4"/>
        <rFont val="Arial"/>
        <family val="2"/>
      </rPr>
      <t xml:space="preserve"> una interfaz de ventas que calcule totales, IVA y cambio</t>
    </r>
  </si>
  <si>
    <r>
      <t>Efectuar</t>
    </r>
    <r>
      <rPr>
        <sz val="11"/>
        <color theme="4"/>
        <rFont val="Arial"/>
        <family val="2"/>
      </rPr>
      <t xml:space="preserve"> transacciones rápidas reduciendo errores de cálculo manual.</t>
    </r>
  </si>
  <si>
    <r>
      <t>Generar</t>
    </r>
    <r>
      <rPr>
        <sz val="11"/>
        <color theme="4"/>
        <rFont val="Arial"/>
        <family val="2"/>
      </rPr>
      <t xml:space="preserve"> e </t>
    </r>
    <r>
      <rPr>
        <b/>
        <sz val="11"/>
        <color theme="4"/>
        <rFont val="Arial"/>
        <family val="2"/>
      </rPr>
      <t>imprimir</t>
    </r>
    <r>
      <rPr>
        <sz val="11"/>
        <color theme="4"/>
        <rFont val="Arial"/>
        <family val="2"/>
      </rPr>
      <t xml:space="preserve"> tickets de venta en formato PDF profesional</t>
    </r>
  </si>
  <si>
    <r>
      <t>Entregar</t>
    </r>
    <r>
      <rPr>
        <sz val="11"/>
        <color theme="4"/>
        <rFont val="Arial"/>
        <family val="2"/>
      </rPr>
      <t xml:space="preserve"> un respaldo formal y legal de la compra al cliente.</t>
    </r>
  </si>
  <si>
    <r>
      <t>Ejecutar</t>
    </r>
    <r>
      <rPr>
        <sz val="11"/>
        <color theme="4"/>
        <rFont val="Arial"/>
        <family val="2"/>
      </rPr>
      <t xml:space="preserve"> un corte de caja diario comparando el sistema con el efectivo</t>
    </r>
  </si>
  <si>
    <r>
      <t>Detectar</t>
    </r>
    <r>
      <rPr>
        <sz val="11"/>
        <color theme="4"/>
        <rFont val="Arial"/>
        <family val="2"/>
      </rPr>
      <t xml:space="preserve"> discrepancias financieras o errores humanos en los cobros.</t>
    </r>
  </si>
  <si>
    <t>REQ013</t>
  </si>
  <si>
    <t>Gestión de Compras</t>
  </si>
  <si>
    <t>REQ014</t>
  </si>
  <si>
    <t>Cuentas por Cobrar</t>
  </si>
  <si>
    <t>REQ015</t>
  </si>
  <si>
    <t>Dashboard Gráfico</t>
  </si>
  <si>
    <t>REQ016</t>
  </si>
  <si>
    <t>Configuración Global</t>
  </si>
  <si>
    <r>
      <t>Gestionar</t>
    </r>
    <r>
      <rPr>
        <sz val="11"/>
        <color theme="4"/>
        <rFont val="Arial"/>
        <family val="2"/>
      </rPr>
      <t xml:space="preserve"> órdenes de compra vinculadas a proveedores y costos</t>
    </r>
  </si>
  <si>
    <r>
      <t>Actualizar</t>
    </r>
    <r>
      <rPr>
        <sz val="11"/>
        <color theme="4"/>
        <rFont val="Arial"/>
        <family val="2"/>
      </rPr>
      <t xml:space="preserve"> el stock y el costo promedio de forma automática.</t>
    </r>
  </si>
  <si>
    <r>
      <t>Manejar</t>
    </r>
    <r>
      <rPr>
        <sz val="11"/>
        <color theme="4"/>
        <rFont val="Arial"/>
        <family val="2"/>
      </rPr>
      <t xml:space="preserve"> ventas a crédito y el registro de abonos parciales</t>
    </r>
  </si>
  <si>
    <r>
      <t>Llevar</t>
    </r>
    <r>
      <rPr>
        <sz val="11"/>
        <color theme="4"/>
        <rFont val="Arial"/>
        <family val="2"/>
      </rPr>
      <t xml:space="preserve"> un control digital de deudores y saldos pendientes de cobro.</t>
    </r>
  </si>
  <si>
    <r>
      <t>Visualizar</t>
    </r>
    <r>
      <rPr>
        <sz val="11"/>
        <color theme="4"/>
        <rFont val="Arial"/>
        <family val="2"/>
      </rPr>
      <t xml:space="preserve"> el rendimiento del negocio mediante gráficos dinámicos</t>
    </r>
  </si>
  <si>
    <r>
      <t>Analizar</t>
    </r>
    <r>
      <rPr>
        <sz val="11"/>
        <color theme="4"/>
        <rFont val="Arial"/>
        <family val="2"/>
      </rPr>
      <t xml:space="preserve"> tendencias de ventas para tomar decisiones estratégicas.</t>
    </r>
  </si>
  <si>
    <r>
      <t>Modificar</t>
    </r>
    <r>
      <rPr>
        <sz val="11"/>
        <color theme="4"/>
        <rFont val="Arial"/>
        <family val="2"/>
      </rPr>
      <t xml:space="preserve"> parámetros del sistema como el nombre de empresa e IVA</t>
    </r>
  </si>
  <si>
    <r>
      <t>Adaptar</t>
    </r>
    <r>
      <rPr>
        <sz val="11"/>
        <color theme="4"/>
        <rFont val="Arial"/>
        <family val="2"/>
      </rPr>
      <t xml:space="preserve"> el software a cambios legales o comerciales sin programar.</t>
    </r>
  </si>
  <si>
    <t>Visualizar rendimiento mediante gráficos dinámicos.</t>
  </si>
  <si>
    <t>Validar credenciales de usuario</t>
  </si>
  <si>
    <t>Garantizar acceso controlado</t>
  </si>
  <si>
    <t>Registrar salidas con motivos</t>
  </si>
  <si>
    <t>Controlar pérdida de mercadería</t>
  </si>
  <si>
    <t>Almacenar datos de clientes</t>
  </si>
  <si>
    <t>Agilizar proceso de facturación</t>
  </si>
  <si>
    <t>Gestionar órdenes de compra</t>
  </si>
  <si>
    <t>Actualizar costos y stock</t>
  </si>
  <si>
    <t>Bryan Cevallos</t>
  </si>
  <si>
    <t>Leopoldo Bolaños</t>
  </si>
  <si>
    <t>Noe Cahuatijo</t>
  </si>
  <si>
    <t>Jelen Lucio</t>
  </si>
  <si>
    <t>Cevallos Bryan</t>
  </si>
  <si>
    <t>REQ001-1</t>
  </si>
  <si>
    <t>REQ001-2</t>
  </si>
  <si>
    <t>REQ001-3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</si>
  <si>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</si>
  <si>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</si>
  <si>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</si>
  <si>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</si>
  <si>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</si>
  <si>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</si>
  <si>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</si>
  <si>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</si>
  <si>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</si>
  <si>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REQ005-1</t>
  </si>
  <si>
    <t>REQ005-2</t>
  </si>
  <si>
    <t>REQ005-3</t>
  </si>
  <si>
    <t>REQ006-1</t>
  </si>
  <si>
    <t>REQ006-2</t>
  </si>
  <si>
    <t>REQ006-3</t>
  </si>
  <si>
    <t>REQ007-1</t>
  </si>
  <si>
    <t>REQ007-2</t>
  </si>
  <si>
    <t>REQ007-3</t>
  </si>
  <si>
    <t>REQ008-1</t>
  </si>
  <si>
    <t>REQ008-2</t>
  </si>
  <si>
    <t>REQ008-3</t>
  </si>
  <si>
    <t>REQ009-1</t>
  </si>
  <si>
    <t>REQ009-2</t>
  </si>
  <si>
    <t>REQ009-3</t>
  </si>
  <si>
    <t>REQ010-1</t>
  </si>
  <si>
    <t>REQ010-2</t>
  </si>
  <si>
    <t>REQ010-3</t>
  </si>
  <si>
    <t>REQ011-1</t>
  </si>
  <si>
    <t>REQ011-2</t>
  </si>
  <si>
    <t>REQ011-3</t>
  </si>
  <si>
    <t>REQ012-1</t>
  </si>
  <si>
    <t>REQ012-2</t>
  </si>
  <si>
    <t>REQ012-3</t>
  </si>
  <si>
    <t>REQ013-1</t>
  </si>
  <si>
    <t>REQ013-2</t>
  </si>
  <si>
    <t>REQ013-3</t>
  </si>
  <si>
    <t>REQ014-1</t>
  </si>
  <si>
    <t>REQ014-2</t>
  </si>
  <si>
    <t>REQ014-3</t>
  </si>
  <si>
    <t>REQ015-1</t>
  </si>
  <si>
    <t>REQ015-2</t>
  </si>
  <si>
    <t>REQ015-3</t>
  </si>
  <si>
    <t>REQ016-1</t>
  </si>
  <si>
    <t>REQ016-2</t>
  </si>
  <si>
    <t>REQ016-3</t>
  </si>
  <si>
    <t>Diseñar la interfaz de login para ingreso de credenciales.</t>
  </si>
  <si>
    <t>Conectar el formulario con la base de datos de usuarios.</t>
  </si>
  <si>
    <t>Validar la autenticación para restringir el acceso no autorizado.</t>
  </si>
  <si>
    <t>Crear el formulario de registro con campos técnicos obligatorios.</t>
  </si>
  <si>
    <t>Validar la unicidad del SKU para evitar duplicidad de productos.</t>
  </si>
  <si>
    <t>Inicializar el stock y costos en cero para nuevos registros.</t>
  </si>
  <si>
    <t>Desarrollar la tabla visual con buscador por SKU y nombre</t>
  </si>
  <si>
    <t>Programar el cambio de estado entre activo e inactivo.</t>
  </si>
  <si>
    <t>Optimizar las consultas para una carga rápida del catálogo.</t>
  </si>
  <si>
    <t>Habilitar una ventana para la creación de nuevas categorías.</t>
  </si>
  <si>
    <t>Vincular los productos a sus respectivas familias lógicas.</t>
  </si>
  <si>
    <t>Implementar filtros por categoría en la vista principal.</t>
  </si>
  <si>
    <t>Configurar el selector desplegable con motivos de salida específicos.</t>
  </si>
  <si>
    <t>Registrar la disminución de stock vinculada al responsable.</t>
  </si>
  <si>
    <t>Verificar que el motivo quede guardado correctamente en la base.</t>
  </si>
  <si>
    <t>Capturar automáticamente la fecha y hora de cada movimiento.</t>
  </si>
  <si>
    <t>Generar una tabla filtrable por tipo de operación (entrada/salida).</t>
  </si>
  <si>
    <t>Garantizar la trazabilidad completa de cada unidad de inventario.</t>
  </si>
  <si>
    <t>Maquetar la pantalla de administración de perfiles y cuentas.</t>
  </si>
  <si>
    <t>Encriptar las contraseñas para asegurar la integridad de datos.</t>
  </si>
  <si>
    <t>Asignar roles específicos (Admin/Vendedor) con permisos restringidos.</t>
  </si>
  <si>
    <t>Validar el RUC obligatorio para el registro de proveedores.</t>
  </si>
  <si>
    <t>Centralizar la información de contacto y servicios en una lista</t>
  </si>
  <si>
    <t>Habilitar la búsqueda rápida para procesos de reabastecimiento.</t>
  </si>
  <si>
    <t>Verificar la validez de la cédula o RUC del cliente.</t>
  </si>
  <si>
    <t>Almacenar los datos de contacto para agilizar futuras compras</t>
  </si>
  <si>
    <t>Prevenir la creación de registros duplicados por identificación.</t>
  </si>
  <si>
    <t>Integrar el carrito de compras con buscador de productos ágil.</t>
  </si>
  <si>
    <t>Calcular automáticamente subtotales, IVA y cambio del cliente</t>
  </si>
  <si>
    <t>Ejecutar la disminución de stock al confirmar el cobro.</t>
  </si>
  <si>
    <t>Diseñar el formato de ticket de venta (80mm) con datos legales.</t>
  </si>
  <si>
    <t>Exportar el comprobante a PDF tras finalizar la transacción.</t>
  </si>
  <si>
    <t>Incluir el detalle de productos, precios y datos del negocio.</t>
  </si>
  <si>
    <t>Sumar el total de ventas realizadas durante la jornada.</t>
  </si>
  <si>
    <t>Comparar el dinero físico ingresado contra el reporte digital.</t>
  </si>
  <si>
    <t>Vincular la entrada de mercadería a un proveedor específico.</t>
  </si>
  <si>
    <t>Actualizar el costo promedio ponderado de los productos ingresados.</t>
  </si>
  <si>
    <t>Incrementar el stock disponible tras validar la orden de compra.</t>
  </si>
  <si>
    <t>Habilitar la opción de pago "A Crédito" en el módulo POS.</t>
  </si>
  <si>
    <t>Registrar abonos parciales a la deuda total del cliente.</t>
  </si>
  <si>
    <t>Listar los deudores con montos y fechas de vencimiento pendientes.</t>
  </si>
  <si>
    <t>Implementar gráficos de barras para ventas diarias y semanales.</t>
  </si>
  <si>
    <t>Visualizar tortas de categorías con mayor rotación de stock.</t>
  </si>
  <si>
    <t>Analizar las ganancias brutas mediante indicadores visuales.</t>
  </si>
  <si>
    <t>Modificar el porcentaje de IVA según normativas vigentes.</t>
  </si>
  <si>
    <t>Actualizar el logo y nombre de la empresa para reportes.</t>
  </si>
  <si>
    <t>Guardar los parámetros en formato JSON para persistencia.</t>
  </si>
  <si>
    <t>Salidas con motivos</t>
  </si>
  <si>
    <t>Emisión Comprobantes</t>
  </si>
  <si>
    <t>Dashboard Analítico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</si>
</sst>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1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2" fillId="3" borderId="0" xfId="0" applyFont="1" applyFill="1"/>
    <xf numFmtId="0" fontId="13" fillId="3" borderId="0" xfId="0" applyFont="1" applyFill="1"/>
    <xf numFmtId="0" fontId="15" fillId="0" borderId="0" xfId="0" applyFont="1"/>
    <xf numFmtId="0" fontId="16" fillId="0" borderId="0" xfId="0" applyFont="1"/>
    <xf numFmtId="164" fontId="3" fillId="0" borderId="0" xfId="0" applyNumberFormat="1" applyFont="1"/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wrapText="1"/>
    </xf>
    <xf numFmtId="0" fontId="21" fillId="0" borderId="0" xfId="0" applyFont="1"/>
    <xf numFmtId="0" fontId="3" fillId="6" borderId="1" xfId="0" applyFont="1" applyFill="1" applyBorder="1" applyAlignment="1">
      <alignment horizontal="right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5" borderId="2" xfId="0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00FF00"/>
          <bgColor rgb="FF00B050"/>
        </patternFill>
      </fill>
    </dxf>
    <dxf>
      <fill>
        <patternFill patternType="solid">
          <fgColor rgb="FF00FF00"/>
          <bgColor rgb="FF00B050"/>
        </patternFill>
      </fill>
    </dxf>
    <dxf>
      <fill>
        <patternFill patternType="solid">
          <fgColor rgb="FF00FF00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6265621885810589E-2"/>
          <c:y val="0.18387888052253931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BURDONCHART!$C$20:$H$20</c:f>
              <c:numCache>
                <c:formatCode>General</c:formatCode>
                <c:ptCount val="6"/>
                <c:pt idx="0">
                  <c:v>87</c:v>
                </c:pt>
                <c:pt idx="1">
                  <c:v>63</c:v>
                </c:pt>
                <c:pt idx="2">
                  <c:v>43</c:v>
                </c:pt>
                <c:pt idx="3">
                  <c:v>25</c:v>
                </c:pt>
                <c:pt idx="4">
                  <c:v>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BURDONCHART!$C$21:$H$21</c:f>
              <c:numCache>
                <c:formatCode>0.0</c:formatCode>
                <c:ptCount val="6"/>
                <c:pt idx="0" formatCode="General">
                  <c:v>87</c:v>
                </c:pt>
                <c:pt idx="1">
                  <c:v>69.599999999999994</c:v>
                </c:pt>
                <c:pt idx="2">
                  <c:v>64.8</c:v>
                </c:pt>
                <c:pt idx="3">
                  <c:v>60.8</c:v>
                </c:pt>
                <c:pt idx="4">
                  <c:v>57.199999999999996</c:v>
                </c:pt>
                <c:pt idx="5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765313</xdr:colOff>
      <xdr:row>24</xdr:row>
      <xdr:rowOff>4436</xdr:rowOff>
    </xdr:from>
    <xdr:to>
      <xdr:col>8</xdr:col>
      <xdr:colOff>787812</xdr:colOff>
      <xdr:row>44</xdr:row>
      <xdr:rowOff>159837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18" headerRowCount="0" totalsRowShown="0" headerRowDxfId="0" dataDxfId="13" tableBorderDxfId="12">
  <tableColumns count="1">
    <tableColumn id="1" xr3:uid="{00000000-0010-0000-0000-000001000000}" name="Column1" dataDxfId="1" totalsRowDxfId="1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I20:I21" headerRowCount="0" totalsRowShown="0" headerRowDxfId="10" dataDxfId="9">
  <tableColumns count="1">
    <tableColumn id="1" xr3:uid="{00000000-0010-0000-0100-000001000000}" name="Column1" dataDxfId="8" totalsRowDxfId="7"/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88D91-20B2-4719-A33A-0EECEE5CED64}" name="Table_14" displayName="Table_14" ref="C4:C18" headerRowCount="0" totalsRowShown="0" headerRowDxfId="2" dataDxfId="6" tableBorderDxfId="5">
  <tableColumns count="1">
    <tableColumn id="1" xr3:uid="{9DB0EA7E-F403-49C9-A2B1-58578F45B81C}" name="Column1" dataDxfId="3" totalsRowDxfId="4"/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82" zoomScaleNormal="82" workbookViewId="0">
      <selection activeCell="F24" sqref="F24"/>
    </sheetView>
  </sheetViews>
  <sheetFormatPr baseColWidth="10" defaultColWidth="12.5546875" defaultRowHeight="15" customHeight="1" x14ac:dyDescent="0.25"/>
  <cols>
    <col min="1" max="1" width="12.44140625" customWidth="1"/>
    <col min="2" max="2" width="39.5546875" bestFit="1" customWidth="1"/>
    <col min="3" max="3" width="36" customWidth="1"/>
    <col min="4" max="4" width="75.88671875" bestFit="1" customWidth="1"/>
    <col min="5" max="5" width="79.6640625" customWidth="1"/>
    <col min="6" max="26" width="12.44140625" customWidth="1"/>
  </cols>
  <sheetData>
    <row r="1" spans="1:8" s="7" customFormat="1" ht="15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s="9" customFormat="1" ht="15.75" customHeight="1" x14ac:dyDescent="0.25">
      <c r="A2" s="24" t="s">
        <v>29</v>
      </c>
      <c r="B2" s="24"/>
      <c r="C2" s="24"/>
      <c r="D2" s="24"/>
      <c r="E2" s="24"/>
      <c r="F2" s="24"/>
      <c r="G2" s="24"/>
      <c r="H2" s="24"/>
    </row>
    <row r="3" spans="1:8" ht="15.75" customHeight="1" x14ac:dyDescent="0.25">
      <c r="A3" s="11" t="s">
        <v>8</v>
      </c>
      <c r="B3" s="15" t="s">
        <v>37</v>
      </c>
      <c r="C3" s="15" t="s">
        <v>38</v>
      </c>
      <c r="D3" s="20" t="s">
        <v>42</v>
      </c>
      <c r="E3" s="21" t="s">
        <v>43</v>
      </c>
      <c r="F3" s="12"/>
      <c r="G3" s="11" t="s">
        <v>9</v>
      </c>
      <c r="H3" s="11" t="s">
        <v>26</v>
      </c>
    </row>
    <row r="4" spans="1:8" ht="15.75" customHeight="1" x14ac:dyDescent="0.25">
      <c r="A4" s="11" t="s">
        <v>30</v>
      </c>
      <c r="B4" s="15" t="s">
        <v>39</v>
      </c>
      <c r="C4" s="15" t="s">
        <v>28</v>
      </c>
      <c r="D4" s="20" t="s">
        <v>44</v>
      </c>
      <c r="E4" s="21" t="s">
        <v>45</v>
      </c>
      <c r="F4" s="11"/>
      <c r="G4" s="11" t="s">
        <v>9</v>
      </c>
      <c r="H4" s="11" t="s">
        <v>26</v>
      </c>
    </row>
    <row r="5" spans="1:8" ht="15.75" customHeight="1" x14ac:dyDescent="0.25">
      <c r="A5" s="11" t="s">
        <v>31</v>
      </c>
      <c r="B5" s="15" t="s">
        <v>40</v>
      </c>
      <c r="C5" s="15" t="s">
        <v>38</v>
      </c>
      <c r="D5" s="20" t="s">
        <v>46</v>
      </c>
      <c r="E5" s="21" t="s">
        <v>47</v>
      </c>
      <c r="F5" s="12"/>
      <c r="G5" s="11" t="s">
        <v>9</v>
      </c>
      <c r="H5" s="11" t="s">
        <v>26</v>
      </c>
    </row>
    <row r="6" spans="1:8" s="16" customFormat="1" ht="14.1" customHeight="1" x14ac:dyDescent="0.25">
      <c r="A6" s="11" t="s">
        <v>32</v>
      </c>
      <c r="B6" s="15" t="s">
        <v>41</v>
      </c>
      <c r="C6" s="15" t="s">
        <v>38</v>
      </c>
      <c r="D6" s="20" t="s">
        <v>48</v>
      </c>
      <c r="E6" s="21" t="s">
        <v>49</v>
      </c>
      <c r="F6" s="12"/>
      <c r="G6" s="11" t="s">
        <v>9</v>
      </c>
      <c r="H6" s="11" t="s">
        <v>26</v>
      </c>
    </row>
    <row r="7" spans="1:8" ht="15.75" customHeight="1" x14ac:dyDescent="0.25">
      <c r="A7" s="25" t="s">
        <v>36</v>
      </c>
      <c r="B7" s="25"/>
      <c r="C7" s="25"/>
      <c r="D7" s="25"/>
      <c r="E7" s="25"/>
      <c r="F7" s="25"/>
      <c r="G7" s="25"/>
      <c r="H7" s="25"/>
    </row>
    <row r="8" spans="1:8" ht="13.8" x14ac:dyDescent="0.25">
      <c r="A8" s="11" t="s">
        <v>33</v>
      </c>
      <c r="B8" s="15" t="s">
        <v>52</v>
      </c>
      <c r="C8" s="15" t="s">
        <v>38</v>
      </c>
      <c r="D8" s="20" t="s">
        <v>57</v>
      </c>
      <c r="E8" s="21" t="s">
        <v>58</v>
      </c>
      <c r="F8" s="16"/>
      <c r="G8" s="15" t="s">
        <v>9</v>
      </c>
      <c r="H8" s="11" t="s">
        <v>26</v>
      </c>
    </row>
    <row r="9" spans="1:8" ht="15.75" customHeight="1" x14ac:dyDescent="0.25">
      <c r="A9" s="11" t="s">
        <v>34</v>
      </c>
      <c r="B9" s="15" t="s">
        <v>53</v>
      </c>
      <c r="C9" s="15" t="s">
        <v>38</v>
      </c>
      <c r="D9" s="20" t="s">
        <v>59</v>
      </c>
      <c r="E9" s="21" t="s">
        <v>60</v>
      </c>
      <c r="F9" s="16"/>
      <c r="G9" s="15" t="s">
        <v>9</v>
      </c>
      <c r="H9" s="11" t="s">
        <v>26</v>
      </c>
    </row>
    <row r="10" spans="1:8" ht="15.75" customHeight="1" x14ac:dyDescent="0.25">
      <c r="A10" s="11" t="s">
        <v>35</v>
      </c>
      <c r="B10" s="15" t="s">
        <v>54</v>
      </c>
      <c r="C10" s="15" t="s">
        <v>28</v>
      </c>
      <c r="D10" s="20" t="s">
        <v>61</v>
      </c>
      <c r="E10" s="21" t="s">
        <v>62</v>
      </c>
      <c r="F10" s="15"/>
      <c r="G10" s="15" t="s">
        <v>9</v>
      </c>
      <c r="H10" s="11" t="s">
        <v>26</v>
      </c>
    </row>
    <row r="11" spans="1:8" ht="15.75" customHeight="1" x14ac:dyDescent="0.25">
      <c r="A11" s="11" t="s">
        <v>55</v>
      </c>
      <c r="B11" s="15" t="s">
        <v>56</v>
      </c>
      <c r="C11" s="15" t="s">
        <v>28</v>
      </c>
      <c r="D11" s="20" t="s">
        <v>63</v>
      </c>
      <c r="E11" s="21" t="s">
        <v>64</v>
      </c>
      <c r="F11" s="16"/>
      <c r="G11" s="15"/>
      <c r="H11" s="15"/>
    </row>
    <row r="12" spans="1:8" ht="15.75" customHeight="1" x14ac:dyDescent="0.25">
      <c r="A12" s="25" t="s">
        <v>50</v>
      </c>
      <c r="B12" s="25"/>
      <c r="C12" s="25"/>
      <c r="D12" s="25"/>
      <c r="E12" s="25"/>
      <c r="F12" s="25"/>
      <c r="G12" s="25"/>
      <c r="H12" s="25"/>
    </row>
    <row r="13" spans="1:8" ht="15.75" customHeight="1" x14ac:dyDescent="0.25">
      <c r="A13" s="11" t="s">
        <v>65</v>
      </c>
      <c r="B13" s="15" t="s">
        <v>66</v>
      </c>
      <c r="C13" s="15" t="s">
        <v>38</v>
      </c>
      <c r="D13" s="20" t="s">
        <v>74</v>
      </c>
      <c r="E13" s="21" t="s">
        <v>75</v>
      </c>
      <c r="G13" s="11" t="s">
        <v>9</v>
      </c>
      <c r="H13" s="11" t="s">
        <v>26</v>
      </c>
    </row>
    <row r="14" spans="1:8" ht="15.75" customHeight="1" x14ac:dyDescent="0.25">
      <c r="A14" s="11" t="s">
        <v>67</v>
      </c>
      <c r="B14" s="15" t="s">
        <v>68</v>
      </c>
      <c r="C14" s="15" t="s">
        <v>69</v>
      </c>
      <c r="D14" s="20" t="s">
        <v>76</v>
      </c>
      <c r="E14" s="21" t="s">
        <v>77</v>
      </c>
      <c r="G14" s="11" t="s">
        <v>9</v>
      </c>
      <c r="H14" s="11" t="s">
        <v>26</v>
      </c>
    </row>
    <row r="15" spans="1:8" ht="15.75" customHeight="1" x14ac:dyDescent="0.25">
      <c r="A15" s="11" t="s">
        <v>70</v>
      </c>
      <c r="B15" s="15" t="s">
        <v>71</v>
      </c>
      <c r="C15" s="15" t="s">
        <v>69</v>
      </c>
      <c r="D15" s="20" t="s">
        <v>78</v>
      </c>
      <c r="E15" s="21" t="s">
        <v>79</v>
      </c>
      <c r="G15" s="11" t="s">
        <v>9</v>
      </c>
      <c r="H15" s="11" t="s">
        <v>26</v>
      </c>
    </row>
    <row r="16" spans="1:8" ht="15.75" customHeight="1" x14ac:dyDescent="0.25">
      <c r="A16" s="11" t="s">
        <v>72</v>
      </c>
      <c r="B16" s="15" t="s">
        <v>73</v>
      </c>
      <c r="C16" s="15" t="s">
        <v>38</v>
      </c>
      <c r="D16" s="20" t="s">
        <v>80</v>
      </c>
      <c r="E16" s="21" t="s">
        <v>81</v>
      </c>
      <c r="G16" s="11" t="s">
        <v>9</v>
      </c>
      <c r="H16" s="11" t="s">
        <v>26</v>
      </c>
    </row>
    <row r="17" spans="1:8" ht="15.75" customHeight="1" x14ac:dyDescent="0.25">
      <c r="A17" s="25" t="s">
        <v>51</v>
      </c>
      <c r="B17" s="25"/>
      <c r="C17" s="25"/>
      <c r="D17" s="25"/>
      <c r="E17" s="25"/>
      <c r="F17" s="25"/>
      <c r="G17" s="25"/>
      <c r="H17" s="25"/>
    </row>
    <row r="18" spans="1:8" ht="15.75" customHeight="1" x14ac:dyDescent="0.25">
      <c r="A18" s="11" t="s">
        <v>82</v>
      </c>
      <c r="B18" s="15" t="s">
        <v>83</v>
      </c>
      <c r="C18" s="15" t="s">
        <v>38</v>
      </c>
      <c r="D18" s="20" t="s">
        <v>90</v>
      </c>
      <c r="E18" s="21" t="s">
        <v>91</v>
      </c>
      <c r="G18" s="11" t="s">
        <v>9</v>
      </c>
      <c r="H18" s="11" t="s">
        <v>26</v>
      </c>
    </row>
    <row r="19" spans="1:8" ht="15.75" customHeight="1" x14ac:dyDescent="0.25">
      <c r="A19" s="11" t="s">
        <v>84</v>
      </c>
      <c r="B19" s="15" t="s">
        <v>85</v>
      </c>
      <c r="C19" s="15" t="s">
        <v>38</v>
      </c>
      <c r="D19" s="20" t="s">
        <v>92</v>
      </c>
      <c r="E19" s="21" t="s">
        <v>93</v>
      </c>
      <c r="G19" s="11" t="s">
        <v>9</v>
      </c>
      <c r="H19" s="11" t="s">
        <v>26</v>
      </c>
    </row>
    <row r="20" spans="1:8" ht="15.75" customHeight="1" x14ac:dyDescent="0.25">
      <c r="A20" s="11" t="s">
        <v>86</v>
      </c>
      <c r="B20" s="15" t="s">
        <v>87</v>
      </c>
      <c r="C20" s="15" t="s">
        <v>28</v>
      </c>
      <c r="D20" s="20" t="s">
        <v>94</v>
      </c>
      <c r="E20" s="21" t="s">
        <v>95</v>
      </c>
      <c r="G20" s="11" t="s">
        <v>9</v>
      </c>
      <c r="H20" s="11" t="s">
        <v>26</v>
      </c>
    </row>
    <row r="21" spans="1:8" ht="15.75" customHeight="1" x14ac:dyDescent="0.25">
      <c r="A21" s="11" t="s">
        <v>88</v>
      </c>
      <c r="B21" s="15" t="s">
        <v>89</v>
      </c>
      <c r="C21" s="15" t="s">
        <v>28</v>
      </c>
      <c r="D21" s="20" t="s">
        <v>96</v>
      </c>
      <c r="E21" s="21" t="s">
        <v>97</v>
      </c>
      <c r="G21" s="11" t="s">
        <v>9</v>
      </c>
      <c r="H21" s="11" t="s">
        <v>26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:H2"/>
    <mergeCell ref="A7:H7"/>
    <mergeCell ref="A12:H12"/>
    <mergeCell ref="A17:H17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39"/>
  <sheetViews>
    <sheetView tabSelected="1" topLeftCell="A79" zoomScale="78" workbookViewId="0">
      <selection activeCell="A79" sqref="A79"/>
    </sheetView>
  </sheetViews>
  <sheetFormatPr baseColWidth="10" defaultColWidth="12.5546875" defaultRowHeight="15" customHeight="1" x14ac:dyDescent="0.25"/>
  <cols>
    <col min="1" max="1" width="21" customWidth="1"/>
    <col min="2" max="2" width="12.44140625" customWidth="1"/>
    <col min="3" max="3" width="50.6640625" customWidth="1"/>
    <col min="4" max="4" width="18.5546875" customWidth="1"/>
    <col min="5" max="5" width="37.5546875" bestFit="1" customWidth="1"/>
    <col min="6" max="6" width="56.33203125" customWidth="1"/>
    <col min="7" max="26" width="12.44140625" customWidth="1"/>
  </cols>
  <sheetData>
    <row r="1" spans="1:9" ht="15.75" customHeight="1" x14ac:dyDescent="0.25"/>
    <row r="2" spans="1:9" ht="15.75" customHeight="1" x14ac:dyDescent="0.25">
      <c r="A2" s="22"/>
    </row>
    <row r="3" spans="1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1:9" s="9" customFormat="1" ht="15.75" customHeight="1" x14ac:dyDescent="0.25">
      <c r="B4" s="13" t="s">
        <v>8</v>
      </c>
      <c r="C4" s="13" t="s">
        <v>37</v>
      </c>
      <c r="D4" s="13" t="s">
        <v>28</v>
      </c>
      <c r="E4" s="13" t="s">
        <v>99</v>
      </c>
      <c r="F4" s="13" t="s">
        <v>100</v>
      </c>
      <c r="G4" s="14"/>
      <c r="H4" s="13" t="s">
        <v>9</v>
      </c>
      <c r="I4" s="13" t="s">
        <v>27</v>
      </c>
    </row>
    <row r="5" spans="1:9" s="9" customFormat="1" ht="15.75" customHeight="1" x14ac:dyDescent="0.25">
      <c r="B5" s="8"/>
      <c r="C5" s="10" t="s">
        <v>15</v>
      </c>
      <c r="D5" s="8"/>
      <c r="E5" s="8"/>
      <c r="F5" s="8"/>
      <c r="G5" s="10" t="s">
        <v>16</v>
      </c>
      <c r="H5" s="8" t="s">
        <v>9</v>
      </c>
      <c r="I5" s="10" t="s">
        <v>17</v>
      </c>
    </row>
    <row r="6" spans="1:9" s="9" customFormat="1" ht="15.75" customHeight="1" x14ac:dyDescent="0.25">
      <c r="B6" s="8" t="s">
        <v>112</v>
      </c>
      <c r="C6" s="26" t="s">
        <v>160</v>
      </c>
      <c r="D6" s="27"/>
      <c r="E6" s="27"/>
      <c r="F6" s="27"/>
      <c r="G6" s="8" t="s">
        <v>107</v>
      </c>
      <c r="H6" s="8" t="s">
        <v>9</v>
      </c>
      <c r="I6" s="8">
        <v>6</v>
      </c>
    </row>
    <row r="7" spans="1:9" s="9" customFormat="1" ht="15.75" customHeight="1" x14ac:dyDescent="0.25">
      <c r="B7" s="8" t="s">
        <v>113</v>
      </c>
      <c r="C7" s="26" t="s">
        <v>161</v>
      </c>
      <c r="D7" s="27"/>
      <c r="E7" s="27"/>
      <c r="F7" s="27"/>
      <c r="G7" s="8" t="s">
        <v>108</v>
      </c>
      <c r="H7" s="8" t="s">
        <v>9</v>
      </c>
      <c r="I7" s="8">
        <v>6</v>
      </c>
    </row>
    <row r="8" spans="1:9" s="9" customFormat="1" ht="15.75" customHeight="1" x14ac:dyDescent="0.25">
      <c r="B8" s="8" t="s">
        <v>114</v>
      </c>
      <c r="C8" s="26" t="s">
        <v>162</v>
      </c>
      <c r="D8" s="27"/>
      <c r="E8" s="27"/>
      <c r="F8" s="27"/>
      <c r="G8" s="8" t="s">
        <v>109</v>
      </c>
      <c r="H8" s="8" t="s">
        <v>9</v>
      </c>
      <c r="I8" s="8">
        <v>6</v>
      </c>
    </row>
    <row r="9" spans="1:9" ht="15.75" customHeight="1" x14ac:dyDescent="0.25">
      <c r="A9" s="22"/>
      <c r="B9" s="1"/>
      <c r="C9" s="1"/>
      <c r="D9" s="1"/>
      <c r="E9" s="1"/>
      <c r="F9" s="1"/>
      <c r="G9" s="1"/>
      <c r="H9" s="1"/>
      <c r="I9" s="1"/>
    </row>
    <row r="10" spans="1:9" ht="15.75" customHeight="1" x14ac:dyDescent="0.25">
      <c r="B10" s="1" t="s">
        <v>10</v>
      </c>
      <c r="C10" s="1" t="s">
        <v>1</v>
      </c>
      <c r="D10" s="1" t="s">
        <v>2</v>
      </c>
      <c r="E10" s="1" t="s">
        <v>11</v>
      </c>
      <c r="F10" s="1" t="s">
        <v>12</v>
      </c>
      <c r="G10" s="1" t="s">
        <v>5</v>
      </c>
      <c r="H10" s="1" t="s">
        <v>13</v>
      </c>
      <c r="I10" s="1" t="s">
        <v>14</v>
      </c>
    </row>
    <row r="11" spans="1:9" ht="15.75" customHeight="1" x14ac:dyDescent="0.25">
      <c r="B11" s="13" t="s">
        <v>30</v>
      </c>
      <c r="C11" s="13" t="s">
        <v>39</v>
      </c>
      <c r="D11" s="13" t="s">
        <v>28</v>
      </c>
      <c r="E11" s="13" t="s">
        <v>101</v>
      </c>
      <c r="F11" s="13" t="s">
        <v>102</v>
      </c>
      <c r="G11" s="14"/>
      <c r="H11" s="13" t="s">
        <v>9</v>
      </c>
      <c r="I11" s="13" t="s">
        <v>27</v>
      </c>
    </row>
    <row r="12" spans="1:9" ht="15.75" customHeight="1" x14ac:dyDescent="0.25">
      <c r="B12" s="8"/>
      <c r="C12" s="10" t="s">
        <v>15</v>
      </c>
      <c r="D12" s="8"/>
      <c r="E12" s="8"/>
      <c r="F12" s="8"/>
      <c r="G12" s="10" t="s">
        <v>16</v>
      </c>
      <c r="H12" s="8" t="s">
        <v>9</v>
      </c>
      <c r="I12" s="10" t="s">
        <v>17</v>
      </c>
    </row>
    <row r="13" spans="1:9" ht="15.75" customHeight="1" x14ac:dyDescent="0.25">
      <c r="B13" s="8" t="s">
        <v>115</v>
      </c>
      <c r="C13" s="26" t="s">
        <v>163</v>
      </c>
      <c r="D13" s="27"/>
      <c r="E13" s="27"/>
      <c r="F13" s="27"/>
      <c r="G13" s="8" t="s">
        <v>109</v>
      </c>
      <c r="H13" s="8" t="s">
        <v>9</v>
      </c>
      <c r="I13" s="8">
        <v>7</v>
      </c>
    </row>
    <row r="14" spans="1:9" ht="15.75" customHeight="1" x14ac:dyDescent="0.25">
      <c r="B14" s="8" t="s">
        <v>116</v>
      </c>
      <c r="C14" s="26" t="s">
        <v>164</v>
      </c>
      <c r="D14" s="27"/>
      <c r="E14" s="27"/>
      <c r="F14" s="27"/>
      <c r="G14" s="8" t="s">
        <v>109</v>
      </c>
      <c r="H14" s="8" t="s">
        <v>9</v>
      </c>
      <c r="I14" s="8">
        <v>5</v>
      </c>
    </row>
    <row r="15" spans="1:9" ht="15.75" customHeight="1" x14ac:dyDescent="0.25">
      <c r="B15" s="8" t="s">
        <v>117</v>
      </c>
      <c r="C15" s="26" t="s">
        <v>165</v>
      </c>
      <c r="D15" s="27"/>
      <c r="E15" s="27"/>
      <c r="F15" s="27"/>
      <c r="G15" s="8" t="s">
        <v>109</v>
      </c>
      <c r="H15" s="8" t="s">
        <v>9</v>
      </c>
      <c r="I15" s="8">
        <v>3</v>
      </c>
    </row>
    <row r="16" spans="1:9" ht="15.75" customHeight="1" x14ac:dyDescent="0.25">
      <c r="A16" s="22"/>
    </row>
    <row r="17" spans="1:9" ht="15.75" customHeight="1" x14ac:dyDescent="0.25">
      <c r="B17" s="1" t="s">
        <v>10</v>
      </c>
      <c r="C17" s="1" t="s">
        <v>1</v>
      </c>
      <c r="D17" s="1" t="s">
        <v>2</v>
      </c>
      <c r="E17" s="1" t="s">
        <v>11</v>
      </c>
      <c r="F17" s="1" t="s">
        <v>12</v>
      </c>
      <c r="G17" s="1" t="s">
        <v>5</v>
      </c>
      <c r="H17" s="1" t="s">
        <v>13</v>
      </c>
      <c r="I17" s="1" t="s">
        <v>14</v>
      </c>
    </row>
    <row r="18" spans="1:9" ht="15.75" customHeight="1" x14ac:dyDescent="0.25">
      <c r="B18" s="13" t="s">
        <v>31</v>
      </c>
      <c r="C18" s="13" t="s">
        <v>41</v>
      </c>
      <c r="D18" s="13" t="s">
        <v>28</v>
      </c>
      <c r="E18" s="13" t="s">
        <v>103</v>
      </c>
      <c r="F18" s="13" t="s">
        <v>104</v>
      </c>
      <c r="G18" s="14"/>
      <c r="H18" s="13" t="s">
        <v>9</v>
      </c>
      <c r="I18" s="13" t="s">
        <v>27</v>
      </c>
    </row>
    <row r="19" spans="1:9" ht="15.75" customHeight="1" x14ac:dyDescent="0.25">
      <c r="B19" s="8"/>
      <c r="C19" s="10" t="s">
        <v>15</v>
      </c>
      <c r="D19" s="8"/>
      <c r="E19" s="8"/>
      <c r="F19" s="8"/>
      <c r="G19" s="10" t="s">
        <v>16</v>
      </c>
      <c r="H19" s="8" t="s">
        <v>9</v>
      </c>
      <c r="I19" s="10" t="s">
        <v>17</v>
      </c>
    </row>
    <row r="20" spans="1:9" ht="15.75" customHeight="1" x14ac:dyDescent="0.25">
      <c r="B20" s="8" t="s">
        <v>118</v>
      </c>
      <c r="C20" s="26" t="s">
        <v>166</v>
      </c>
      <c r="D20" s="27"/>
      <c r="E20" s="27"/>
      <c r="F20" s="27"/>
      <c r="G20" s="8" t="s">
        <v>110</v>
      </c>
      <c r="H20" s="8" t="s">
        <v>9</v>
      </c>
      <c r="I20" s="8">
        <v>8</v>
      </c>
    </row>
    <row r="21" spans="1:9" ht="15.75" customHeight="1" x14ac:dyDescent="0.25">
      <c r="B21" s="8" t="s">
        <v>119</v>
      </c>
      <c r="C21" s="26" t="s">
        <v>167</v>
      </c>
      <c r="D21" s="27"/>
      <c r="E21" s="27"/>
      <c r="F21" s="27"/>
      <c r="G21" s="8" t="s">
        <v>111</v>
      </c>
      <c r="H21" s="8" t="s">
        <v>9</v>
      </c>
      <c r="I21" s="8">
        <v>6</v>
      </c>
    </row>
    <row r="22" spans="1:9" ht="15.75" customHeight="1" x14ac:dyDescent="0.25">
      <c r="B22" s="8" t="s">
        <v>120</v>
      </c>
      <c r="C22" s="26" t="s">
        <v>168</v>
      </c>
      <c r="D22" s="27"/>
      <c r="E22" s="27"/>
      <c r="F22" s="27"/>
      <c r="G22" s="8" t="s">
        <v>108</v>
      </c>
      <c r="H22" s="8" t="s">
        <v>9</v>
      </c>
      <c r="I22" s="8">
        <v>5</v>
      </c>
    </row>
    <row r="23" spans="1:9" ht="15.75" customHeight="1" x14ac:dyDescent="0.25">
      <c r="A23" s="22"/>
    </row>
    <row r="24" spans="1:9" ht="15.75" customHeight="1" x14ac:dyDescent="0.25">
      <c r="B24" s="1" t="s">
        <v>10</v>
      </c>
      <c r="C24" s="1" t="s">
        <v>1</v>
      </c>
      <c r="D24" s="1" t="s">
        <v>2</v>
      </c>
      <c r="E24" s="1" t="s">
        <v>11</v>
      </c>
      <c r="F24" s="1" t="s">
        <v>12</v>
      </c>
      <c r="G24" s="1" t="s">
        <v>5</v>
      </c>
      <c r="H24" s="1" t="s">
        <v>13</v>
      </c>
      <c r="I24" s="1" t="s">
        <v>14</v>
      </c>
    </row>
    <row r="25" spans="1:9" ht="15.75" customHeight="1" x14ac:dyDescent="0.25">
      <c r="B25" s="13" t="s">
        <v>32</v>
      </c>
      <c r="C25" s="13" t="s">
        <v>40</v>
      </c>
      <c r="D25" s="13" t="s">
        <v>28</v>
      </c>
      <c r="E25" s="13" t="s">
        <v>105</v>
      </c>
      <c r="F25" s="13" t="s">
        <v>106</v>
      </c>
      <c r="G25" s="14"/>
      <c r="H25" s="13" t="s">
        <v>9</v>
      </c>
      <c r="I25" s="13" t="s">
        <v>27</v>
      </c>
    </row>
    <row r="26" spans="1:9" ht="15.75" customHeight="1" x14ac:dyDescent="0.25">
      <c r="B26" s="8"/>
      <c r="C26" s="10" t="s">
        <v>15</v>
      </c>
      <c r="D26" s="8"/>
      <c r="E26" s="8"/>
      <c r="F26" s="8"/>
      <c r="G26" s="10" t="s">
        <v>16</v>
      </c>
      <c r="H26" s="8" t="s">
        <v>9</v>
      </c>
      <c r="I26" s="10" t="s">
        <v>17</v>
      </c>
    </row>
    <row r="27" spans="1:9" ht="15.75" customHeight="1" x14ac:dyDescent="0.25">
      <c r="B27" s="8" t="s">
        <v>121</v>
      </c>
      <c r="C27" s="26" t="s">
        <v>169</v>
      </c>
      <c r="D27" s="27"/>
      <c r="E27" s="27"/>
      <c r="F27" s="27"/>
      <c r="G27" s="8" t="s">
        <v>111</v>
      </c>
      <c r="H27" s="8" t="s">
        <v>9</v>
      </c>
      <c r="I27" s="8">
        <v>7</v>
      </c>
    </row>
    <row r="28" spans="1:9" ht="15.75" customHeight="1" x14ac:dyDescent="0.25">
      <c r="B28" s="8" t="s">
        <v>122</v>
      </c>
      <c r="C28" s="26" t="s">
        <v>170</v>
      </c>
      <c r="D28" s="27"/>
      <c r="E28" s="27"/>
      <c r="F28" s="27"/>
      <c r="G28" s="8" t="s">
        <v>110</v>
      </c>
      <c r="H28" s="8" t="s">
        <v>9</v>
      </c>
      <c r="I28" s="8">
        <v>5</v>
      </c>
    </row>
    <row r="29" spans="1:9" ht="15.75" customHeight="1" x14ac:dyDescent="0.25">
      <c r="B29" s="8" t="s">
        <v>123</v>
      </c>
      <c r="C29" s="26" t="s">
        <v>171</v>
      </c>
      <c r="D29" s="27"/>
      <c r="E29" s="27"/>
      <c r="F29" s="27"/>
      <c r="G29" s="8" t="s">
        <v>108</v>
      </c>
      <c r="H29" s="8" t="s">
        <v>9</v>
      </c>
      <c r="I29" s="8">
        <v>3</v>
      </c>
    </row>
    <row r="30" spans="1:9" ht="15.75" customHeight="1" x14ac:dyDescent="0.25"/>
    <row r="31" spans="1:9" ht="15.75" customHeight="1" x14ac:dyDescent="0.25">
      <c r="B31" s="1" t="s">
        <v>10</v>
      </c>
      <c r="C31" s="1" t="s">
        <v>1</v>
      </c>
      <c r="D31" s="1" t="s">
        <v>2</v>
      </c>
      <c r="E31" s="1" t="s">
        <v>11</v>
      </c>
      <c r="F31" s="1" t="s">
        <v>12</v>
      </c>
      <c r="G31" s="1" t="s">
        <v>5</v>
      </c>
      <c r="H31" s="1" t="s">
        <v>13</v>
      </c>
      <c r="I31" s="1" t="s">
        <v>14</v>
      </c>
    </row>
    <row r="32" spans="1:9" ht="15.75" customHeight="1" x14ac:dyDescent="0.25">
      <c r="B32" s="13" t="s">
        <v>33</v>
      </c>
      <c r="C32" s="13" t="s">
        <v>207</v>
      </c>
      <c r="D32" s="13" t="s">
        <v>28</v>
      </c>
      <c r="E32" s="13" t="s">
        <v>105</v>
      </c>
      <c r="F32" s="13" t="s">
        <v>106</v>
      </c>
      <c r="G32" s="14"/>
      <c r="H32" s="13" t="s">
        <v>9</v>
      </c>
      <c r="I32" s="13" t="s">
        <v>27</v>
      </c>
    </row>
    <row r="33" spans="2:9" ht="15.75" customHeight="1" x14ac:dyDescent="0.25">
      <c r="B33" s="8"/>
      <c r="C33" s="10" t="s">
        <v>15</v>
      </c>
      <c r="D33" s="8"/>
      <c r="E33" s="8"/>
      <c r="F33" s="8"/>
      <c r="G33" s="10" t="s">
        <v>16</v>
      </c>
      <c r="H33" s="8" t="s">
        <v>9</v>
      </c>
      <c r="I33" s="10" t="s">
        <v>17</v>
      </c>
    </row>
    <row r="34" spans="2:9" ht="15.75" customHeight="1" x14ac:dyDescent="0.25">
      <c r="B34" s="8" t="s">
        <v>124</v>
      </c>
      <c r="C34" s="26" t="s">
        <v>172</v>
      </c>
      <c r="D34" s="27"/>
      <c r="E34" s="27"/>
      <c r="F34" s="27"/>
      <c r="G34" s="8" t="s">
        <v>111</v>
      </c>
      <c r="H34" s="8" t="s">
        <v>9</v>
      </c>
      <c r="I34" s="8">
        <v>7</v>
      </c>
    </row>
    <row r="35" spans="2:9" ht="15.75" customHeight="1" x14ac:dyDescent="0.25">
      <c r="B35" s="8" t="s">
        <v>125</v>
      </c>
      <c r="C35" s="26" t="s">
        <v>173</v>
      </c>
      <c r="D35" s="27"/>
      <c r="E35" s="27"/>
      <c r="F35" s="27"/>
      <c r="G35" s="8" t="s">
        <v>110</v>
      </c>
      <c r="H35" s="8" t="s">
        <v>9</v>
      </c>
      <c r="I35" s="8">
        <v>5</v>
      </c>
    </row>
    <row r="36" spans="2:9" ht="15.75" customHeight="1" x14ac:dyDescent="0.25">
      <c r="B36" s="8" t="s">
        <v>126</v>
      </c>
      <c r="C36" s="26" t="s">
        <v>174</v>
      </c>
      <c r="D36" s="27"/>
      <c r="E36" s="27"/>
      <c r="F36" s="27"/>
      <c r="G36" s="8" t="s">
        <v>108</v>
      </c>
      <c r="H36" s="8" t="s">
        <v>9</v>
      </c>
      <c r="I36" s="8">
        <v>3</v>
      </c>
    </row>
    <row r="37" spans="2:9" ht="15.75" customHeight="1" x14ac:dyDescent="0.25"/>
    <row r="38" spans="2:9" ht="15.75" customHeight="1" x14ac:dyDescent="0.25">
      <c r="B38" s="1" t="s">
        <v>10</v>
      </c>
      <c r="C38" s="1" t="s">
        <v>1</v>
      </c>
      <c r="D38" s="1" t="s">
        <v>2</v>
      </c>
      <c r="E38" s="1" t="s">
        <v>11</v>
      </c>
      <c r="F38" s="1" t="s">
        <v>12</v>
      </c>
      <c r="G38" s="1" t="s">
        <v>5</v>
      </c>
      <c r="H38" s="1" t="s">
        <v>13</v>
      </c>
      <c r="I38" s="1" t="s">
        <v>14</v>
      </c>
    </row>
    <row r="39" spans="2:9" ht="15.75" customHeight="1" x14ac:dyDescent="0.25">
      <c r="B39" s="13" t="s">
        <v>34</v>
      </c>
      <c r="C39" s="13" t="s">
        <v>53</v>
      </c>
      <c r="D39" s="13" t="s">
        <v>28</v>
      </c>
      <c r="E39" s="13" t="s">
        <v>105</v>
      </c>
      <c r="F39" s="13" t="s">
        <v>106</v>
      </c>
      <c r="G39" s="14"/>
      <c r="H39" s="13" t="s">
        <v>9</v>
      </c>
      <c r="I39" s="13" t="s">
        <v>27</v>
      </c>
    </row>
    <row r="40" spans="2:9" ht="15.75" customHeight="1" x14ac:dyDescent="0.25">
      <c r="B40" s="8"/>
      <c r="C40" s="10" t="s">
        <v>15</v>
      </c>
      <c r="D40" s="8"/>
      <c r="E40" s="8"/>
      <c r="F40" s="8"/>
      <c r="G40" s="10" t="s">
        <v>16</v>
      </c>
      <c r="H40" s="8" t="s">
        <v>9</v>
      </c>
      <c r="I40" s="10" t="s">
        <v>17</v>
      </c>
    </row>
    <row r="41" spans="2:9" ht="15.75" customHeight="1" x14ac:dyDescent="0.25">
      <c r="B41" s="8" t="s">
        <v>127</v>
      </c>
      <c r="C41" s="26" t="s">
        <v>175</v>
      </c>
      <c r="D41" s="27"/>
      <c r="E41" s="27"/>
      <c r="F41" s="27"/>
      <c r="G41" s="8" t="s">
        <v>111</v>
      </c>
      <c r="H41" s="8" t="s">
        <v>9</v>
      </c>
      <c r="I41" s="8">
        <v>7</v>
      </c>
    </row>
    <row r="42" spans="2:9" ht="15.75" customHeight="1" x14ac:dyDescent="0.25">
      <c r="B42" s="8" t="s">
        <v>128</v>
      </c>
      <c r="C42" s="26" t="s">
        <v>176</v>
      </c>
      <c r="D42" s="27"/>
      <c r="E42" s="27"/>
      <c r="F42" s="27"/>
      <c r="G42" s="8" t="s">
        <v>110</v>
      </c>
      <c r="H42" s="8" t="s">
        <v>9</v>
      </c>
      <c r="I42" s="8">
        <v>5</v>
      </c>
    </row>
    <row r="43" spans="2:9" ht="15.75" customHeight="1" x14ac:dyDescent="0.25">
      <c r="B43" s="8" t="s">
        <v>129</v>
      </c>
      <c r="C43" s="26" t="s">
        <v>177</v>
      </c>
      <c r="D43" s="27"/>
      <c r="E43" s="27"/>
      <c r="F43" s="27"/>
      <c r="G43" s="8" t="s">
        <v>108</v>
      </c>
      <c r="H43" s="8" t="s">
        <v>9</v>
      </c>
      <c r="I43" s="8">
        <v>3</v>
      </c>
    </row>
    <row r="44" spans="2:9" ht="15.75" customHeight="1" x14ac:dyDescent="0.25"/>
    <row r="45" spans="2:9" ht="15.75" customHeight="1" x14ac:dyDescent="0.25">
      <c r="B45" s="1" t="s">
        <v>10</v>
      </c>
      <c r="C45" s="1" t="s">
        <v>1</v>
      </c>
      <c r="D45" s="1" t="s">
        <v>2</v>
      </c>
      <c r="E45" s="1" t="s">
        <v>11</v>
      </c>
      <c r="F45" s="1" t="s">
        <v>12</v>
      </c>
      <c r="G45" s="1" t="s">
        <v>5</v>
      </c>
      <c r="H45" s="1" t="s">
        <v>13</v>
      </c>
      <c r="I45" s="1" t="s">
        <v>14</v>
      </c>
    </row>
    <row r="46" spans="2:9" ht="15.75" customHeight="1" x14ac:dyDescent="0.25">
      <c r="B46" s="13" t="s">
        <v>35</v>
      </c>
      <c r="C46" s="13" t="s">
        <v>54</v>
      </c>
      <c r="D46" s="13" t="s">
        <v>28</v>
      </c>
      <c r="E46" s="13" t="s">
        <v>105</v>
      </c>
      <c r="F46" s="13" t="s">
        <v>106</v>
      </c>
      <c r="G46" s="14"/>
      <c r="H46" s="13" t="s">
        <v>9</v>
      </c>
      <c r="I46" s="13" t="s">
        <v>27</v>
      </c>
    </row>
    <row r="47" spans="2:9" ht="15.75" customHeight="1" x14ac:dyDescent="0.25">
      <c r="B47" s="8"/>
      <c r="C47" s="10" t="s">
        <v>15</v>
      </c>
      <c r="D47" s="8"/>
      <c r="E47" s="8"/>
      <c r="F47" s="8"/>
      <c r="G47" s="10" t="s">
        <v>16</v>
      </c>
      <c r="H47" s="8" t="s">
        <v>9</v>
      </c>
      <c r="I47" s="10" t="s">
        <v>17</v>
      </c>
    </row>
    <row r="48" spans="2:9" ht="15.75" customHeight="1" x14ac:dyDescent="0.25">
      <c r="B48" s="8" t="s">
        <v>130</v>
      </c>
      <c r="C48" s="26" t="s">
        <v>178</v>
      </c>
      <c r="D48" s="27"/>
      <c r="E48" s="27"/>
      <c r="F48" s="27"/>
      <c r="G48" s="8" t="s">
        <v>111</v>
      </c>
      <c r="H48" s="8" t="s">
        <v>9</v>
      </c>
      <c r="I48" s="8">
        <v>7</v>
      </c>
    </row>
    <row r="49" spans="2:9" ht="15.75" customHeight="1" x14ac:dyDescent="0.25">
      <c r="B49" s="8" t="s">
        <v>131</v>
      </c>
      <c r="C49" s="26" t="s">
        <v>179</v>
      </c>
      <c r="D49" s="27"/>
      <c r="E49" s="27"/>
      <c r="F49" s="27"/>
      <c r="G49" s="8" t="s">
        <v>110</v>
      </c>
      <c r="H49" s="8" t="s">
        <v>9</v>
      </c>
      <c r="I49" s="8">
        <v>5</v>
      </c>
    </row>
    <row r="50" spans="2:9" ht="15.75" customHeight="1" x14ac:dyDescent="0.25">
      <c r="B50" s="8" t="s">
        <v>132</v>
      </c>
      <c r="C50" s="26" t="s">
        <v>180</v>
      </c>
      <c r="D50" s="27"/>
      <c r="E50" s="27"/>
      <c r="F50" s="27"/>
      <c r="G50" s="8" t="s">
        <v>108</v>
      </c>
      <c r="H50" s="8" t="s">
        <v>9</v>
      </c>
      <c r="I50" s="8">
        <v>3</v>
      </c>
    </row>
    <row r="51" spans="2:9" ht="15.75" customHeight="1" x14ac:dyDescent="0.25"/>
    <row r="52" spans="2:9" ht="15.75" customHeight="1" x14ac:dyDescent="0.25">
      <c r="B52" s="1" t="s">
        <v>10</v>
      </c>
      <c r="C52" s="1" t="s">
        <v>1</v>
      </c>
      <c r="D52" s="1" t="s">
        <v>2</v>
      </c>
      <c r="E52" s="1" t="s">
        <v>11</v>
      </c>
      <c r="F52" s="1" t="s">
        <v>12</v>
      </c>
      <c r="G52" s="1" t="s">
        <v>5</v>
      </c>
      <c r="H52" s="1" t="s">
        <v>13</v>
      </c>
      <c r="I52" s="1" t="s">
        <v>14</v>
      </c>
    </row>
    <row r="53" spans="2:9" ht="15.75" customHeight="1" x14ac:dyDescent="0.25">
      <c r="B53" s="13" t="s">
        <v>55</v>
      </c>
      <c r="C53" s="13" t="s">
        <v>56</v>
      </c>
      <c r="D53" s="13" t="s">
        <v>28</v>
      </c>
      <c r="E53" s="13" t="s">
        <v>105</v>
      </c>
      <c r="F53" s="13" t="s">
        <v>106</v>
      </c>
      <c r="G53" s="14"/>
      <c r="H53" s="13" t="s">
        <v>9</v>
      </c>
      <c r="I53" s="13" t="s">
        <v>27</v>
      </c>
    </row>
    <row r="54" spans="2:9" ht="15.75" customHeight="1" x14ac:dyDescent="0.25">
      <c r="B54" s="8"/>
      <c r="C54" s="10" t="s">
        <v>15</v>
      </c>
      <c r="D54" s="8"/>
      <c r="E54" s="8"/>
      <c r="F54" s="8"/>
      <c r="G54" s="10" t="s">
        <v>16</v>
      </c>
      <c r="H54" s="8" t="s">
        <v>9</v>
      </c>
      <c r="I54" s="10" t="s">
        <v>17</v>
      </c>
    </row>
    <row r="55" spans="2:9" ht="15.75" customHeight="1" x14ac:dyDescent="0.25">
      <c r="B55" s="8" t="s">
        <v>133</v>
      </c>
      <c r="C55" s="26" t="s">
        <v>181</v>
      </c>
      <c r="D55" s="27"/>
      <c r="E55" s="27"/>
      <c r="F55" s="27"/>
      <c r="G55" s="8" t="s">
        <v>111</v>
      </c>
      <c r="H55" s="8" t="s">
        <v>9</v>
      </c>
      <c r="I55" s="8">
        <v>7</v>
      </c>
    </row>
    <row r="56" spans="2:9" ht="15.75" customHeight="1" x14ac:dyDescent="0.25">
      <c r="B56" s="8" t="s">
        <v>134</v>
      </c>
      <c r="C56" s="26" t="s">
        <v>182</v>
      </c>
      <c r="D56" s="27"/>
      <c r="E56" s="27"/>
      <c r="F56" s="27"/>
      <c r="G56" s="8" t="s">
        <v>110</v>
      </c>
      <c r="H56" s="8" t="s">
        <v>9</v>
      </c>
      <c r="I56" s="8">
        <v>5</v>
      </c>
    </row>
    <row r="57" spans="2:9" ht="15.75" customHeight="1" x14ac:dyDescent="0.25">
      <c r="B57" s="8" t="s">
        <v>135</v>
      </c>
      <c r="C57" s="26" t="s">
        <v>183</v>
      </c>
      <c r="D57" s="27"/>
      <c r="E57" s="27"/>
      <c r="F57" s="27"/>
      <c r="G57" s="8" t="s">
        <v>108</v>
      </c>
      <c r="H57" s="8" t="s">
        <v>9</v>
      </c>
      <c r="I57" s="8">
        <v>3</v>
      </c>
    </row>
    <row r="58" spans="2:9" ht="15.75" customHeight="1" x14ac:dyDescent="0.25"/>
    <row r="59" spans="2:9" ht="15.75" customHeight="1" x14ac:dyDescent="0.25">
      <c r="B59" s="1" t="s">
        <v>10</v>
      </c>
      <c r="C59" s="1" t="s">
        <v>1</v>
      </c>
      <c r="D59" s="1" t="s">
        <v>2</v>
      </c>
      <c r="E59" s="1" t="s">
        <v>11</v>
      </c>
      <c r="F59" s="1" t="s">
        <v>12</v>
      </c>
      <c r="G59" s="1" t="s">
        <v>5</v>
      </c>
      <c r="H59" s="1" t="s">
        <v>13</v>
      </c>
      <c r="I59" s="1" t="s">
        <v>14</v>
      </c>
    </row>
    <row r="60" spans="2:9" ht="15.75" customHeight="1" x14ac:dyDescent="0.25">
      <c r="B60" s="13" t="s">
        <v>65</v>
      </c>
      <c r="C60" s="13" t="s">
        <v>66</v>
      </c>
      <c r="D60" s="13" t="s">
        <v>28</v>
      </c>
      <c r="E60" s="13" t="s">
        <v>105</v>
      </c>
      <c r="F60" s="13" t="s">
        <v>106</v>
      </c>
      <c r="G60" s="14"/>
      <c r="H60" s="13" t="s">
        <v>9</v>
      </c>
      <c r="I60" s="13" t="s">
        <v>27</v>
      </c>
    </row>
    <row r="61" spans="2:9" ht="15.75" customHeight="1" x14ac:dyDescent="0.25">
      <c r="B61" s="8"/>
      <c r="C61" s="10" t="s">
        <v>15</v>
      </c>
      <c r="D61" s="8"/>
      <c r="E61" s="8"/>
      <c r="F61" s="8"/>
      <c r="G61" s="10" t="s">
        <v>16</v>
      </c>
      <c r="H61" s="8" t="s">
        <v>9</v>
      </c>
      <c r="I61" s="10" t="s">
        <v>17</v>
      </c>
    </row>
    <row r="62" spans="2:9" ht="15.75" customHeight="1" x14ac:dyDescent="0.25">
      <c r="B62" s="8" t="s">
        <v>136</v>
      </c>
      <c r="C62" s="26" t="s">
        <v>184</v>
      </c>
      <c r="D62" s="27"/>
      <c r="E62" s="27"/>
      <c r="F62" s="27"/>
      <c r="G62" s="8" t="s">
        <v>111</v>
      </c>
      <c r="H62" s="8" t="s">
        <v>9</v>
      </c>
      <c r="I62" s="8">
        <v>7</v>
      </c>
    </row>
    <row r="63" spans="2:9" ht="15.75" customHeight="1" x14ac:dyDescent="0.25">
      <c r="B63" s="8" t="s">
        <v>137</v>
      </c>
      <c r="C63" s="26" t="s">
        <v>185</v>
      </c>
      <c r="D63" s="27"/>
      <c r="E63" s="27"/>
      <c r="F63" s="27"/>
      <c r="G63" s="8" t="s">
        <v>110</v>
      </c>
      <c r="H63" s="8" t="s">
        <v>9</v>
      </c>
      <c r="I63" s="8">
        <v>5</v>
      </c>
    </row>
    <row r="64" spans="2:9" ht="15.75" customHeight="1" x14ac:dyDescent="0.25">
      <c r="B64" s="8" t="s">
        <v>138</v>
      </c>
      <c r="C64" s="26" t="s">
        <v>186</v>
      </c>
      <c r="D64" s="27"/>
      <c r="E64" s="27"/>
      <c r="F64" s="27"/>
      <c r="G64" s="8" t="s">
        <v>108</v>
      </c>
      <c r="H64" s="8" t="s">
        <v>9</v>
      </c>
      <c r="I64" s="8">
        <v>3</v>
      </c>
    </row>
    <row r="65" spans="2:9" ht="15.75" customHeight="1" x14ac:dyDescent="0.25"/>
    <row r="66" spans="2:9" ht="15.75" customHeight="1" x14ac:dyDescent="0.25">
      <c r="B66" s="1" t="s">
        <v>10</v>
      </c>
      <c r="C66" s="1" t="s">
        <v>1</v>
      </c>
      <c r="D66" s="1" t="s">
        <v>2</v>
      </c>
      <c r="E66" s="1" t="s">
        <v>11</v>
      </c>
      <c r="F66" s="1" t="s">
        <v>12</v>
      </c>
      <c r="G66" s="1" t="s">
        <v>5</v>
      </c>
      <c r="H66" s="1" t="s">
        <v>13</v>
      </c>
      <c r="I66" s="1" t="s">
        <v>14</v>
      </c>
    </row>
    <row r="67" spans="2:9" ht="15.75" customHeight="1" x14ac:dyDescent="0.25">
      <c r="B67" s="13" t="s">
        <v>67</v>
      </c>
      <c r="C67" s="13" t="s">
        <v>68</v>
      </c>
      <c r="D67" s="13" t="s">
        <v>28</v>
      </c>
      <c r="E67" s="13" t="s">
        <v>105</v>
      </c>
      <c r="F67" s="13" t="s">
        <v>106</v>
      </c>
      <c r="G67" s="14"/>
      <c r="H67" s="13" t="s">
        <v>9</v>
      </c>
      <c r="I67" s="13" t="s">
        <v>27</v>
      </c>
    </row>
    <row r="68" spans="2:9" ht="15.75" customHeight="1" x14ac:dyDescent="0.25">
      <c r="B68" s="8"/>
      <c r="C68" s="10" t="s">
        <v>15</v>
      </c>
      <c r="D68" s="8"/>
      <c r="E68" s="8"/>
      <c r="F68" s="8"/>
      <c r="G68" s="10" t="s">
        <v>16</v>
      </c>
      <c r="H68" s="8" t="s">
        <v>9</v>
      </c>
      <c r="I68" s="10" t="s">
        <v>17</v>
      </c>
    </row>
    <row r="69" spans="2:9" ht="15.75" customHeight="1" x14ac:dyDescent="0.25">
      <c r="B69" s="8" t="s">
        <v>139</v>
      </c>
      <c r="C69" s="26" t="s">
        <v>187</v>
      </c>
      <c r="D69" s="27"/>
      <c r="E69" s="27"/>
      <c r="F69" s="27"/>
      <c r="G69" s="8" t="s">
        <v>111</v>
      </c>
      <c r="H69" s="8" t="s">
        <v>9</v>
      </c>
      <c r="I69" s="8">
        <v>7</v>
      </c>
    </row>
    <row r="70" spans="2:9" ht="15.75" customHeight="1" x14ac:dyDescent="0.25">
      <c r="B70" s="8" t="s">
        <v>140</v>
      </c>
      <c r="C70" s="26" t="s">
        <v>188</v>
      </c>
      <c r="D70" s="27"/>
      <c r="E70" s="27"/>
      <c r="F70" s="27"/>
      <c r="G70" s="8" t="s">
        <v>110</v>
      </c>
      <c r="H70" s="8" t="s">
        <v>9</v>
      </c>
      <c r="I70" s="8">
        <v>5</v>
      </c>
    </row>
    <row r="71" spans="2:9" ht="15.75" customHeight="1" x14ac:dyDescent="0.25">
      <c r="B71" s="8" t="s">
        <v>141</v>
      </c>
      <c r="C71" s="26" t="s">
        <v>189</v>
      </c>
      <c r="D71" s="27"/>
      <c r="E71" s="27"/>
      <c r="F71" s="27"/>
      <c r="G71" s="8" t="s">
        <v>108</v>
      </c>
      <c r="H71" s="8" t="s">
        <v>9</v>
      </c>
      <c r="I71" s="8">
        <v>3</v>
      </c>
    </row>
    <row r="72" spans="2:9" ht="15.75" customHeight="1" x14ac:dyDescent="0.25"/>
    <row r="73" spans="2:9" ht="15.75" customHeight="1" x14ac:dyDescent="0.25">
      <c r="B73" s="1" t="s">
        <v>10</v>
      </c>
      <c r="C73" s="1" t="s">
        <v>1</v>
      </c>
      <c r="D73" s="1" t="s">
        <v>2</v>
      </c>
      <c r="E73" s="1" t="s">
        <v>11</v>
      </c>
      <c r="F73" s="1" t="s">
        <v>12</v>
      </c>
      <c r="G73" s="1" t="s">
        <v>5</v>
      </c>
      <c r="H73" s="1" t="s">
        <v>13</v>
      </c>
      <c r="I73" s="1" t="s">
        <v>14</v>
      </c>
    </row>
    <row r="74" spans="2:9" ht="15.75" customHeight="1" x14ac:dyDescent="0.25">
      <c r="B74" s="13" t="s">
        <v>70</v>
      </c>
      <c r="C74" s="13" t="s">
        <v>208</v>
      </c>
      <c r="D74" s="13" t="s">
        <v>28</v>
      </c>
      <c r="E74" s="13" t="s">
        <v>105</v>
      </c>
      <c r="F74" s="13" t="s">
        <v>106</v>
      </c>
      <c r="G74" s="14"/>
      <c r="H74" s="13" t="s">
        <v>9</v>
      </c>
      <c r="I74" s="13" t="s">
        <v>27</v>
      </c>
    </row>
    <row r="75" spans="2:9" ht="15.75" customHeight="1" x14ac:dyDescent="0.25">
      <c r="B75" s="8"/>
      <c r="C75" s="10" t="s">
        <v>15</v>
      </c>
      <c r="D75" s="8"/>
      <c r="E75" s="8"/>
      <c r="F75" s="8"/>
      <c r="G75" s="10" t="s">
        <v>16</v>
      </c>
      <c r="H75" s="8" t="s">
        <v>9</v>
      </c>
      <c r="I75" s="10" t="s">
        <v>17</v>
      </c>
    </row>
    <row r="76" spans="2:9" ht="15.75" customHeight="1" x14ac:dyDescent="0.25">
      <c r="B76" s="8" t="s">
        <v>142</v>
      </c>
      <c r="C76" s="26" t="s">
        <v>190</v>
      </c>
      <c r="D76" s="27"/>
      <c r="E76" s="27"/>
      <c r="F76" s="27"/>
      <c r="G76" s="8" t="s">
        <v>111</v>
      </c>
      <c r="H76" s="8" t="s">
        <v>9</v>
      </c>
      <c r="I76" s="8">
        <v>7</v>
      </c>
    </row>
    <row r="77" spans="2:9" ht="15.75" customHeight="1" x14ac:dyDescent="0.25">
      <c r="B77" s="8" t="s">
        <v>143</v>
      </c>
      <c r="C77" s="26" t="s">
        <v>191</v>
      </c>
      <c r="D77" s="27"/>
      <c r="E77" s="27"/>
      <c r="F77" s="27"/>
      <c r="G77" s="8" t="s">
        <v>110</v>
      </c>
      <c r="H77" s="8" t="s">
        <v>9</v>
      </c>
      <c r="I77" s="8">
        <v>5</v>
      </c>
    </row>
    <row r="78" spans="2:9" ht="15.75" customHeight="1" x14ac:dyDescent="0.25">
      <c r="B78" s="8" t="s">
        <v>144</v>
      </c>
      <c r="C78" s="26" t="s">
        <v>192</v>
      </c>
      <c r="D78" s="27"/>
      <c r="E78" s="27"/>
      <c r="F78" s="27"/>
      <c r="G78" s="8" t="s">
        <v>108</v>
      </c>
      <c r="H78" s="8" t="s">
        <v>9</v>
      </c>
      <c r="I78" s="8">
        <v>3</v>
      </c>
    </row>
    <row r="79" spans="2:9" ht="15.75" customHeight="1" x14ac:dyDescent="0.25"/>
    <row r="80" spans="2:9" ht="15.75" customHeight="1" x14ac:dyDescent="0.25">
      <c r="B80" s="1" t="s">
        <v>10</v>
      </c>
      <c r="C80" s="1" t="s">
        <v>1</v>
      </c>
      <c r="D80" s="1" t="s">
        <v>2</v>
      </c>
      <c r="E80" s="1" t="s">
        <v>11</v>
      </c>
      <c r="F80" s="1" t="s">
        <v>12</v>
      </c>
      <c r="G80" s="1" t="s">
        <v>5</v>
      </c>
      <c r="H80" s="1" t="s">
        <v>13</v>
      </c>
      <c r="I80" s="1" t="s">
        <v>14</v>
      </c>
    </row>
    <row r="81" spans="2:9" ht="15.75" customHeight="1" x14ac:dyDescent="0.25">
      <c r="B81" s="13" t="s">
        <v>72</v>
      </c>
      <c r="C81" s="13" t="s">
        <v>73</v>
      </c>
      <c r="D81" s="13" t="s">
        <v>28</v>
      </c>
      <c r="E81" s="13" t="s">
        <v>105</v>
      </c>
      <c r="F81" s="13" t="s">
        <v>106</v>
      </c>
      <c r="G81" s="14"/>
      <c r="H81" s="13" t="s">
        <v>9</v>
      </c>
      <c r="I81" s="13" t="s">
        <v>27</v>
      </c>
    </row>
    <row r="82" spans="2:9" ht="15.75" customHeight="1" x14ac:dyDescent="0.25">
      <c r="B82" s="8"/>
      <c r="C82" s="10" t="s">
        <v>15</v>
      </c>
      <c r="D82" s="8"/>
      <c r="E82" s="8"/>
      <c r="F82" s="8"/>
      <c r="G82" s="10" t="s">
        <v>16</v>
      </c>
      <c r="H82" s="8" t="s">
        <v>9</v>
      </c>
      <c r="I82" s="10" t="s">
        <v>17</v>
      </c>
    </row>
    <row r="83" spans="2:9" ht="15.75" customHeight="1" x14ac:dyDescent="0.25">
      <c r="B83" s="8" t="s">
        <v>145</v>
      </c>
      <c r="C83" s="26" t="s">
        <v>193</v>
      </c>
      <c r="D83" s="27"/>
      <c r="E83" s="27"/>
      <c r="F83" s="27"/>
      <c r="G83" s="8" t="s">
        <v>111</v>
      </c>
      <c r="H83" s="8" t="s">
        <v>9</v>
      </c>
      <c r="I83" s="8">
        <v>7</v>
      </c>
    </row>
    <row r="84" spans="2:9" ht="15.75" customHeight="1" x14ac:dyDescent="0.25">
      <c r="B84" s="8" t="s">
        <v>146</v>
      </c>
      <c r="C84" s="26" t="s">
        <v>98</v>
      </c>
      <c r="D84" s="27"/>
      <c r="E84" s="27"/>
      <c r="F84" s="27"/>
      <c r="G84" s="8" t="s">
        <v>110</v>
      </c>
      <c r="H84" s="8" t="s">
        <v>9</v>
      </c>
      <c r="I84" s="8">
        <v>5</v>
      </c>
    </row>
    <row r="85" spans="2:9" ht="15.75" customHeight="1" x14ac:dyDescent="0.25">
      <c r="B85" s="8" t="s">
        <v>147</v>
      </c>
      <c r="C85" s="26" t="s">
        <v>194</v>
      </c>
      <c r="D85" s="27"/>
      <c r="E85" s="27"/>
      <c r="F85" s="27"/>
      <c r="G85" s="8" t="s">
        <v>108</v>
      </c>
      <c r="H85" s="8" t="s">
        <v>9</v>
      </c>
      <c r="I85" s="8">
        <v>3</v>
      </c>
    </row>
    <row r="86" spans="2:9" ht="15.75" customHeight="1" x14ac:dyDescent="0.25"/>
    <row r="87" spans="2:9" ht="15.75" customHeight="1" x14ac:dyDescent="0.25">
      <c r="B87" s="1" t="s">
        <v>10</v>
      </c>
      <c r="C87" s="1" t="s">
        <v>1</v>
      </c>
      <c r="D87" s="1" t="s">
        <v>2</v>
      </c>
      <c r="E87" s="1" t="s">
        <v>11</v>
      </c>
      <c r="F87" s="1" t="s">
        <v>12</v>
      </c>
      <c r="G87" s="1" t="s">
        <v>5</v>
      </c>
      <c r="H87" s="1" t="s">
        <v>13</v>
      </c>
      <c r="I87" s="1" t="s">
        <v>14</v>
      </c>
    </row>
    <row r="88" spans="2:9" ht="15.75" customHeight="1" x14ac:dyDescent="0.25">
      <c r="B88" s="13" t="s">
        <v>82</v>
      </c>
      <c r="C88" s="13" t="s">
        <v>83</v>
      </c>
      <c r="D88" s="13" t="s">
        <v>28</v>
      </c>
      <c r="E88" s="13" t="s">
        <v>105</v>
      </c>
      <c r="F88" s="13" t="s">
        <v>106</v>
      </c>
      <c r="G88" s="14"/>
      <c r="H88" s="13" t="s">
        <v>9</v>
      </c>
      <c r="I88" s="13" t="s">
        <v>27</v>
      </c>
    </row>
    <row r="89" spans="2:9" ht="15.75" customHeight="1" x14ac:dyDescent="0.25">
      <c r="B89" s="8"/>
      <c r="C89" s="10" t="s">
        <v>15</v>
      </c>
      <c r="D89" s="8"/>
      <c r="E89" s="8"/>
      <c r="F89" s="8"/>
      <c r="G89" s="10" t="s">
        <v>16</v>
      </c>
      <c r="H89" s="8" t="s">
        <v>9</v>
      </c>
      <c r="I89" s="10" t="s">
        <v>17</v>
      </c>
    </row>
    <row r="90" spans="2:9" ht="15.75" customHeight="1" x14ac:dyDescent="0.25">
      <c r="B90" s="8" t="s">
        <v>148</v>
      </c>
      <c r="C90" s="26" t="s">
        <v>195</v>
      </c>
      <c r="D90" s="27"/>
      <c r="E90" s="27"/>
      <c r="F90" s="27"/>
      <c r="G90" s="8" t="s">
        <v>111</v>
      </c>
      <c r="H90" s="8" t="s">
        <v>9</v>
      </c>
      <c r="I90" s="8">
        <v>7</v>
      </c>
    </row>
    <row r="91" spans="2:9" ht="15.75" customHeight="1" x14ac:dyDescent="0.25">
      <c r="B91" s="8" t="s">
        <v>149</v>
      </c>
      <c r="C91" s="26" t="s">
        <v>196</v>
      </c>
      <c r="D91" s="27"/>
      <c r="E91" s="27"/>
      <c r="F91" s="27"/>
      <c r="G91" s="8" t="s">
        <v>110</v>
      </c>
      <c r="H91" s="8" t="s">
        <v>9</v>
      </c>
      <c r="I91" s="8">
        <v>5</v>
      </c>
    </row>
    <row r="92" spans="2:9" ht="15.75" customHeight="1" x14ac:dyDescent="0.25">
      <c r="B92" s="8" t="s">
        <v>150</v>
      </c>
      <c r="C92" s="26" t="s">
        <v>197</v>
      </c>
      <c r="D92" s="27"/>
      <c r="E92" s="27"/>
      <c r="F92" s="27"/>
      <c r="G92" s="8" t="s">
        <v>108</v>
      </c>
      <c r="H92" s="8" t="s">
        <v>9</v>
      </c>
      <c r="I92" s="8">
        <v>3</v>
      </c>
    </row>
    <row r="93" spans="2:9" ht="15.75" customHeight="1" x14ac:dyDescent="0.25"/>
    <row r="94" spans="2:9" ht="15.75" customHeight="1" x14ac:dyDescent="0.25">
      <c r="B94" s="1" t="s">
        <v>10</v>
      </c>
      <c r="C94" s="1" t="s">
        <v>1</v>
      </c>
      <c r="D94" s="1" t="s">
        <v>2</v>
      </c>
      <c r="E94" s="1" t="s">
        <v>11</v>
      </c>
      <c r="F94" s="1" t="s">
        <v>12</v>
      </c>
      <c r="G94" s="1" t="s">
        <v>5</v>
      </c>
      <c r="H94" s="1" t="s">
        <v>13</v>
      </c>
      <c r="I94" s="1" t="s">
        <v>14</v>
      </c>
    </row>
    <row r="95" spans="2:9" ht="15.75" customHeight="1" x14ac:dyDescent="0.25">
      <c r="B95" s="13" t="s">
        <v>84</v>
      </c>
      <c r="C95" s="13" t="s">
        <v>85</v>
      </c>
      <c r="D95" s="13" t="s">
        <v>28</v>
      </c>
      <c r="E95" s="13" t="s">
        <v>105</v>
      </c>
      <c r="F95" s="13" t="s">
        <v>106</v>
      </c>
      <c r="G95" s="14"/>
      <c r="H95" s="13" t="s">
        <v>9</v>
      </c>
      <c r="I95" s="13" t="s">
        <v>27</v>
      </c>
    </row>
    <row r="96" spans="2:9" ht="15.75" customHeight="1" x14ac:dyDescent="0.25">
      <c r="B96" s="8"/>
      <c r="C96" s="10" t="s">
        <v>15</v>
      </c>
      <c r="D96" s="8"/>
      <c r="E96" s="8"/>
      <c r="F96" s="8"/>
      <c r="G96" s="10" t="s">
        <v>16</v>
      </c>
      <c r="H96" s="8" t="s">
        <v>9</v>
      </c>
      <c r="I96" s="10" t="s">
        <v>17</v>
      </c>
    </row>
    <row r="97" spans="2:9" ht="15.75" customHeight="1" x14ac:dyDescent="0.25">
      <c r="B97" s="8" t="s">
        <v>151</v>
      </c>
      <c r="C97" s="26" t="s">
        <v>198</v>
      </c>
      <c r="D97" s="27"/>
      <c r="E97" s="27"/>
      <c r="F97" s="27"/>
      <c r="G97" s="8" t="s">
        <v>111</v>
      </c>
      <c r="H97" s="8" t="s">
        <v>9</v>
      </c>
      <c r="I97" s="8">
        <v>7</v>
      </c>
    </row>
    <row r="98" spans="2:9" ht="15.75" customHeight="1" x14ac:dyDescent="0.25">
      <c r="B98" s="8" t="s">
        <v>152</v>
      </c>
      <c r="C98" s="26" t="s">
        <v>199</v>
      </c>
      <c r="D98" s="27"/>
      <c r="E98" s="27"/>
      <c r="F98" s="27"/>
      <c r="G98" s="8" t="s">
        <v>110</v>
      </c>
      <c r="H98" s="8" t="s">
        <v>9</v>
      </c>
      <c r="I98" s="8">
        <v>5</v>
      </c>
    </row>
    <row r="99" spans="2:9" ht="15.75" customHeight="1" x14ac:dyDescent="0.25">
      <c r="B99" s="8" t="s">
        <v>153</v>
      </c>
      <c r="C99" s="26" t="s">
        <v>200</v>
      </c>
      <c r="D99" s="27"/>
      <c r="E99" s="27"/>
      <c r="F99" s="27"/>
      <c r="G99" s="8" t="s">
        <v>108</v>
      </c>
      <c r="H99" s="8" t="s">
        <v>9</v>
      </c>
      <c r="I99" s="8">
        <v>3</v>
      </c>
    </row>
    <row r="100" spans="2:9" ht="15.75" customHeight="1" x14ac:dyDescent="0.25"/>
    <row r="101" spans="2:9" ht="15.75" customHeight="1" x14ac:dyDescent="0.25">
      <c r="B101" s="1" t="s">
        <v>10</v>
      </c>
      <c r="C101" s="1" t="s">
        <v>1</v>
      </c>
      <c r="D101" s="1" t="s">
        <v>2</v>
      </c>
      <c r="E101" s="1" t="s">
        <v>11</v>
      </c>
      <c r="F101" s="1" t="s">
        <v>12</v>
      </c>
      <c r="G101" s="1" t="s">
        <v>5</v>
      </c>
      <c r="H101" s="1" t="s">
        <v>13</v>
      </c>
      <c r="I101" s="1" t="s">
        <v>14</v>
      </c>
    </row>
    <row r="102" spans="2:9" ht="15.75" customHeight="1" x14ac:dyDescent="0.25">
      <c r="B102" s="13" t="s">
        <v>86</v>
      </c>
      <c r="C102" s="13" t="s">
        <v>209</v>
      </c>
      <c r="D102" s="13" t="s">
        <v>28</v>
      </c>
      <c r="E102" s="13" t="s">
        <v>105</v>
      </c>
      <c r="F102" s="13" t="s">
        <v>106</v>
      </c>
      <c r="G102" s="14"/>
      <c r="H102" s="13" t="s">
        <v>9</v>
      </c>
      <c r="I102" s="13" t="s">
        <v>27</v>
      </c>
    </row>
    <row r="103" spans="2:9" ht="15.75" customHeight="1" x14ac:dyDescent="0.25">
      <c r="B103" s="8"/>
      <c r="C103" s="10" t="s">
        <v>15</v>
      </c>
      <c r="D103" s="8"/>
      <c r="E103" s="8"/>
      <c r="F103" s="8"/>
      <c r="G103" s="10" t="s">
        <v>16</v>
      </c>
      <c r="H103" s="8" t="s">
        <v>9</v>
      </c>
      <c r="I103" s="10" t="s">
        <v>17</v>
      </c>
    </row>
    <row r="104" spans="2:9" ht="15.75" customHeight="1" x14ac:dyDescent="0.25">
      <c r="B104" s="8" t="s">
        <v>154</v>
      </c>
      <c r="C104" s="26" t="s">
        <v>201</v>
      </c>
      <c r="D104" s="27"/>
      <c r="E104" s="27"/>
      <c r="F104" s="27"/>
      <c r="G104" s="8" t="s">
        <v>111</v>
      </c>
      <c r="H104" s="8" t="s">
        <v>9</v>
      </c>
      <c r="I104" s="8">
        <v>7</v>
      </c>
    </row>
    <row r="105" spans="2:9" ht="15.75" customHeight="1" x14ac:dyDescent="0.25">
      <c r="B105" s="8" t="s">
        <v>155</v>
      </c>
      <c r="C105" s="26" t="s">
        <v>202</v>
      </c>
      <c r="D105" s="27"/>
      <c r="E105" s="27"/>
      <c r="F105" s="27"/>
      <c r="G105" s="8" t="s">
        <v>110</v>
      </c>
      <c r="H105" s="8" t="s">
        <v>9</v>
      </c>
      <c r="I105" s="8">
        <v>5</v>
      </c>
    </row>
    <row r="106" spans="2:9" ht="15.75" customHeight="1" x14ac:dyDescent="0.25">
      <c r="B106" s="8" t="s">
        <v>156</v>
      </c>
      <c r="C106" s="26" t="s">
        <v>203</v>
      </c>
      <c r="D106" s="27"/>
      <c r="E106" s="27"/>
      <c r="F106" s="27"/>
      <c r="G106" s="8" t="s">
        <v>108</v>
      </c>
      <c r="H106" s="8" t="s">
        <v>9</v>
      </c>
      <c r="I106" s="8">
        <v>3</v>
      </c>
    </row>
    <row r="107" spans="2:9" ht="15.75" customHeight="1" x14ac:dyDescent="0.25"/>
    <row r="108" spans="2:9" ht="15.75" customHeight="1" x14ac:dyDescent="0.25">
      <c r="B108" s="1" t="s">
        <v>10</v>
      </c>
      <c r="C108" s="1" t="s">
        <v>1</v>
      </c>
      <c r="D108" s="1" t="s">
        <v>2</v>
      </c>
      <c r="E108" s="1" t="s">
        <v>11</v>
      </c>
      <c r="F108" s="1" t="s">
        <v>12</v>
      </c>
      <c r="G108" s="1" t="s">
        <v>5</v>
      </c>
      <c r="H108" s="1" t="s">
        <v>13</v>
      </c>
      <c r="I108" s="1" t="s">
        <v>14</v>
      </c>
    </row>
    <row r="109" spans="2:9" ht="15.75" customHeight="1" x14ac:dyDescent="0.25">
      <c r="B109" s="13" t="s">
        <v>88</v>
      </c>
      <c r="C109" s="13" t="s">
        <v>89</v>
      </c>
      <c r="D109" s="13" t="s">
        <v>28</v>
      </c>
      <c r="E109" s="13" t="s">
        <v>105</v>
      </c>
      <c r="F109" s="13" t="s">
        <v>106</v>
      </c>
      <c r="G109" s="14"/>
      <c r="H109" s="13" t="s">
        <v>9</v>
      </c>
      <c r="I109" s="13" t="s">
        <v>27</v>
      </c>
    </row>
    <row r="110" spans="2:9" ht="15.75" customHeight="1" x14ac:dyDescent="0.25">
      <c r="B110" s="8"/>
      <c r="C110" s="10" t="s">
        <v>15</v>
      </c>
      <c r="D110" s="8"/>
      <c r="E110" s="8"/>
      <c r="F110" s="8"/>
      <c r="G110" s="10" t="s">
        <v>16</v>
      </c>
      <c r="H110" s="8" t="s">
        <v>9</v>
      </c>
      <c r="I110" s="10" t="s">
        <v>17</v>
      </c>
    </row>
    <row r="111" spans="2:9" ht="15.75" customHeight="1" x14ac:dyDescent="0.25">
      <c r="B111" s="8" t="s">
        <v>157</v>
      </c>
      <c r="C111" s="26" t="s">
        <v>204</v>
      </c>
      <c r="D111" s="27"/>
      <c r="E111" s="27"/>
      <c r="F111" s="27"/>
      <c r="G111" s="8" t="s">
        <v>111</v>
      </c>
      <c r="H111" s="8" t="s">
        <v>9</v>
      </c>
      <c r="I111" s="8">
        <v>7</v>
      </c>
    </row>
    <row r="112" spans="2:9" ht="15.75" customHeight="1" x14ac:dyDescent="0.25">
      <c r="B112" s="8" t="s">
        <v>158</v>
      </c>
      <c r="C112" s="26" t="s">
        <v>205</v>
      </c>
      <c r="D112" s="27"/>
      <c r="E112" s="27"/>
      <c r="F112" s="27"/>
      <c r="G112" s="8" t="s">
        <v>110</v>
      </c>
      <c r="H112" s="8" t="s">
        <v>9</v>
      </c>
      <c r="I112" s="8">
        <v>5</v>
      </c>
    </row>
    <row r="113" spans="2:9" ht="15.75" customHeight="1" x14ac:dyDescent="0.25">
      <c r="B113" s="8" t="s">
        <v>159</v>
      </c>
      <c r="C113" s="26" t="s">
        <v>206</v>
      </c>
      <c r="D113" s="27"/>
      <c r="E113" s="27"/>
      <c r="F113" s="27"/>
      <c r="G113" s="8" t="s">
        <v>108</v>
      </c>
      <c r="H113" s="8" t="s">
        <v>9</v>
      </c>
      <c r="I113" s="8">
        <v>3</v>
      </c>
    </row>
    <row r="114" spans="2:9" ht="15.75" customHeight="1" x14ac:dyDescent="0.25"/>
    <row r="115" spans="2:9" ht="15.75" customHeight="1" x14ac:dyDescent="0.25"/>
    <row r="116" spans="2:9" ht="15.75" customHeight="1" x14ac:dyDescent="0.25"/>
    <row r="117" spans="2:9" ht="15.75" customHeight="1" x14ac:dyDescent="0.25"/>
    <row r="118" spans="2:9" ht="15.75" customHeight="1" x14ac:dyDescent="0.25"/>
    <row r="119" spans="2:9" ht="15.75" customHeight="1" x14ac:dyDescent="0.25"/>
    <row r="120" spans="2:9" ht="15.75" customHeight="1" x14ac:dyDescent="0.25"/>
    <row r="121" spans="2:9" ht="15.75" customHeight="1" x14ac:dyDescent="0.25"/>
    <row r="122" spans="2:9" ht="15.75" customHeight="1" x14ac:dyDescent="0.25"/>
    <row r="123" spans="2:9" ht="15.75" customHeight="1" x14ac:dyDescent="0.25"/>
    <row r="124" spans="2:9" ht="15.75" customHeight="1" x14ac:dyDescent="0.25"/>
    <row r="125" spans="2:9" ht="15.75" customHeight="1" x14ac:dyDescent="0.25"/>
    <row r="126" spans="2:9" ht="15.75" customHeight="1" x14ac:dyDescent="0.25"/>
    <row r="127" spans="2:9" ht="15.75" customHeight="1" x14ac:dyDescent="0.25"/>
    <row r="128" spans="2: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48">
    <mergeCell ref="C113:F113"/>
    <mergeCell ref="C104:F104"/>
    <mergeCell ref="C105:F105"/>
    <mergeCell ref="C106:F106"/>
    <mergeCell ref="C111:F111"/>
    <mergeCell ref="C112:F112"/>
    <mergeCell ref="C91:F91"/>
    <mergeCell ref="C92:F92"/>
    <mergeCell ref="C97:F97"/>
    <mergeCell ref="C98:F98"/>
    <mergeCell ref="C99:F99"/>
    <mergeCell ref="C78:F78"/>
    <mergeCell ref="C83:F83"/>
    <mergeCell ref="C84:F84"/>
    <mergeCell ref="C85:F85"/>
    <mergeCell ref="C90:F90"/>
    <mergeCell ref="C69:F69"/>
    <mergeCell ref="C70:F70"/>
    <mergeCell ref="C71:F71"/>
    <mergeCell ref="C76:F76"/>
    <mergeCell ref="C77:F77"/>
    <mergeCell ref="C56:F56"/>
    <mergeCell ref="C57:F57"/>
    <mergeCell ref="C62:F62"/>
    <mergeCell ref="C63:F63"/>
    <mergeCell ref="C64:F64"/>
    <mergeCell ref="C43:F43"/>
    <mergeCell ref="C48:F48"/>
    <mergeCell ref="C49:F49"/>
    <mergeCell ref="C50:F50"/>
    <mergeCell ref="C55:F55"/>
    <mergeCell ref="C34:F34"/>
    <mergeCell ref="C35:F35"/>
    <mergeCell ref="C36:F36"/>
    <mergeCell ref="C41:F41"/>
    <mergeCell ref="C42:F42"/>
    <mergeCell ref="C6:F6"/>
    <mergeCell ref="C7:F7"/>
    <mergeCell ref="C8:F8"/>
    <mergeCell ref="C13:F13"/>
    <mergeCell ref="C14:F14"/>
    <mergeCell ref="C28:F28"/>
    <mergeCell ref="C29:F29"/>
    <mergeCell ref="C15:F15"/>
    <mergeCell ref="C20:F20"/>
    <mergeCell ref="C21:F21"/>
    <mergeCell ref="C22:F22"/>
    <mergeCell ref="C27:F27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66"/>
  <sheetViews>
    <sheetView zoomScale="70" zoomScaleNormal="70" workbookViewId="0"/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3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19" t="s">
        <v>18</v>
      </c>
      <c r="E3" s="19" t="s">
        <v>19</v>
      </c>
      <c r="F3" s="19" t="s">
        <v>20</v>
      </c>
      <c r="G3" s="19" t="s">
        <v>21</v>
      </c>
      <c r="H3" s="19" t="s">
        <v>22</v>
      </c>
      <c r="I3" s="3" t="s">
        <v>23</v>
      </c>
    </row>
    <row r="4" spans="1:9" ht="15.75" customHeight="1" x14ac:dyDescent="0.25">
      <c r="B4" s="2" t="s">
        <v>8</v>
      </c>
      <c r="C4" s="28">
        <v>4</v>
      </c>
      <c r="D4" s="4">
        <v>0</v>
      </c>
      <c r="E4" s="4">
        <v>0</v>
      </c>
      <c r="F4" s="4">
        <v>0</v>
      </c>
      <c r="G4" s="4">
        <v>2</v>
      </c>
      <c r="H4" s="4">
        <v>2</v>
      </c>
      <c r="I4" s="28">
        <v>4</v>
      </c>
    </row>
    <row r="5" spans="1:9" ht="15.75" customHeight="1" x14ac:dyDescent="0.25">
      <c r="B5" s="2" t="s">
        <v>30</v>
      </c>
      <c r="C5" s="28">
        <v>6</v>
      </c>
      <c r="D5" s="4">
        <v>0</v>
      </c>
      <c r="E5" s="4">
        <v>0</v>
      </c>
      <c r="F5" s="4">
        <v>0</v>
      </c>
      <c r="G5" s="4">
        <v>3</v>
      </c>
      <c r="H5" s="4">
        <v>3</v>
      </c>
      <c r="I5" s="28">
        <v>6</v>
      </c>
    </row>
    <row r="6" spans="1:9" ht="15.75" customHeight="1" x14ac:dyDescent="0.25">
      <c r="A6" s="3"/>
      <c r="B6" s="2" t="s">
        <v>31</v>
      </c>
      <c r="C6" s="28">
        <v>6</v>
      </c>
      <c r="D6" s="4">
        <v>0</v>
      </c>
      <c r="E6" s="4">
        <v>0</v>
      </c>
      <c r="F6" s="4">
        <v>2</v>
      </c>
      <c r="G6" s="4">
        <v>2</v>
      </c>
      <c r="H6" s="4">
        <v>2</v>
      </c>
      <c r="I6" s="28">
        <v>6</v>
      </c>
    </row>
    <row r="7" spans="1:9" ht="15.75" customHeight="1" x14ac:dyDescent="0.25">
      <c r="B7" s="2" t="s">
        <v>32</v>
      </c>
      <c r="C7" s="28">
        <v>6</v>
      </c>
      <c r="D7" s="4">
        <v>0</v>
      </c>
      <c r="E7" s="4">
        <v>0</v>
      </c>
      <c r="F7" s="4">
        <v>3</v>
      </c>
      <c r="G7" s="4">
        <v>3</v>
      </c>
      <c r="H7" s="4">
        <v>0</v>
      </c>
      <c r="I7" s="28">
        <v>6</v>
      </c>
    </row>
    <row r="8" spans="1:9" ht="15.75" customHeight="1" x14ac:dyDescent="0.25">
      <c r="B8" s="2" t="s">
        <v>33</v>
      </c>
      <c r="C8" s="28">
        <v>6</v>
      </c>
      <c r="D8" s="4">
        <v>0</v>
      </c>
      <c r="E8" s="4">
        <v>3</v>
      </c>
      <c r="F8" s="4">
        <v>3</v>
      </c>
      <c r="G8" s="4">
        <v>0</v>
      </c>
      <c r="H8" s="4">
        <v>0</v>
      </c>
      <c r="I8" s="28">
        <v>6</v>
      </c>
    </row>
    <row r="9" spans="1:9" ht="15.75" customHeight="1" x14ac:dyDescent="0.25">
      <c r="B9" s="2" t="s">
        <v>34</v>
      </c>
      <c r="C9" s="28">
        <v>7</v>
      </c>
      <c r="D9" s="4">
        <v>2</v>
      </c>
      <c r="E9" s="4">
        <v>3</v>
      </c>
      <c r="F9" s="4">
        <v>2</v>
      </c>
      <c r="G9" s="4">
        <v>0</v>
      </c>
      <c r="H9" s="4">
        <v>0</v>
      </c>
      <c r="I9" s="28">
        <v>7</v>
      </c>
    </row>
    <row r="10" spans="1:9" ht="15.75" customHeight="1" x14ac:dyDescent="0.25">
      <c r="B10" s="2" t="s">
        <v>35</v>
      </c>
      <c r="C10" s="28">
        <v>5</v>
      </c>
      <c r="D10" s="4">
        <v>2</v>
      </c>
      <c r="E10" s="4">
        <v>3</v>
      </c>
      <c r="F10" s="4">
        <v>0</v>
      </c>
      <c r="G10" s="4">
        <v>0</v>
      </c>
      <c r="H10" s="4">
        <v>0</v>
      </c>
      <c r="I10" s="28">
        <v>5</v>
      </c>
    </row>
    <row r="11" spans="1:9" ht="15.75" customHeight="1" x14ac:dyDescent="0.25">
      <c r="B11" s="2" t="s">
        <v>55</v>
      </c>
      <c r="C11" s="28">
        <v>3</v>
      </c>
      <c r="D11" s="4">
        <v>3</v>
      </c>
      <c r="E11" s="4">
        <v>0</v>
      </c>
      <c r="F11" s="4">
        <v>0</v>
      </c>
      <c r="G11" s="4">
        <v>0</v>
      </c>
      <c r="H11" s="4">
        <v>0</v>
      </c>
      <c r="I11" s="28">
        <v>3</v>
      </c>
    </row>
    <row r="12" spans="1:9" ht="15.75" customHeight="1" x14ac:dyDescent="0.25">
      <c r="B12" s="2" t="s">
        <v>65</v>
      </c>
      <c r="C12" s="28">
        <v>4</v>
      </c>
      <c r="D12" s="4">
        <v>0</v>
      </c>
      <c r="E12" s="4">
        <v>0</v>
      </c>
      <c r="F12" s="4">
        <v>0</v>
      </c>
      <c r="G12" s="4">
        <v>0</v>
      </c>
      <c r="H12" s="4">
        <v>4</v>
      </c>
      <c r="I12" s="28">
        <v>4</v>
      </c>
    </row>
    <row r="13" spans="1:9" ht="15.75" customHeight="1" x14ac:dyDescent="0.25">
      <c r="B13" s="2" t="s">
        <v>67</v>
      </c>
      <c r="C13" s="28">
        <v>8</v>
      </c>
      <c r="D13" s="4">
        <v>0</v>
      </c>
      <c r="E13" s="4">
        <v>0</v>
      </c>
      <c r="F13" s="4">
        <v>4</v>
      </c>
      <c r="G13" s="4">
        <v>4</v>
      </c>
      <c r="H13" s="4">
        <v>0</v>
      </c>
      <c r="I13" s="28">
        <v>8</v>
      </c>
    </row>
    <row r="14" spans="1:9" ht="15.75" customHeight="1" x14ac:dyDescent="0.25">
      <c r="B14" s="2" t="s">
        <v>70</v>
      </c>
      <c r="C14" s="28">
        <v>6</v>
      </c>
      <c r="D14" s="4">
        <v>0</v>
      </c>
      <c r="E14" s="4">
        <v>3</v>
      </c>
      <c r="F14" s="4">
        <v>3</v>
      </c>
      <c r="G14" s="4">
        <v>0</v>
      </c>
      <c r="H14" s="4">
        <v>0</v>
      </c>
      <c r="I14" s="28">
        <v>6</v>
      </c>
    </row>
    <row r="15" spans="1:9" ht="15.75" customHeight="1" x14ac:dyDescent="0.25">
      <c r="B15" s="2" t="s">
        <v>72</v>
      </c>
      <c r="C15" s="28">
        <v>5</v>
      </c>
      <c r="D15" s="4">
        <v>3</v>
      </c>
      <c r="E15" s="4">
        <v>2</v>
      </c>
      <c r="F15" s="4">
        <v>0</v>
      </c>
      <c r="G15" s="4">
        <v>0</v>
      </c>
      <c r="H15" s="4">
        <v>0</v>
      </c>
      <c r="I15" s="28">
        <v>5</v>
      </c>
    </row>
    <row r="16" spans="1:9" ht="15.75" customHeight="1" x14ac:dyDescent="0.25">
      <c r="B16" s="2" t="s">
        <v>82</v>
      </c>
      <c r="C16" s="28">
        <v>6</v>
      </c>
      <c r="D16" s="4">
        <v>3</v>
      </c>
      <c r="E16" s="4">
        <v>3</v>
      </c>
      <c r="F16" s="4">
        <v>0</v>
      </c>
      <c r="G16" s="4">
        <v>0</v>
      </c>
      <c r="H16" s="4">
        <v>0</v>
      </c>
      <c r="I16" s="28">
        <v>6</v>
      </c>
    </row>
    <row r="17" spans="2:9" ht="15.75" customHeight="1" x14ac:dyDescent="0.25">
      <c r="B17" s="2" t="s">
        <v>84</v>
      </c>
      <c r="C17" s="28">
        <v>7</v>
      </c>
      <c r="D17" s="4">
        <v>3</v>
      </c>
      <c r="E17" s="4">
        <v>3</v>
      </c>
      <c r="F17" s="4">
        <v>1</v>
      </c>
      <c r="G17" s="4">
        <v>0</v>
      </c>
      <c r="H17" s="4">
        <v>0</v>
      </c>
      <c r="I17" s="28">
        <v>7</v>
      </c>
    </row>
    <row r="18" spans="2:9" ht="15.75" customHeight="1" x14ac:dyDescent="0.25">
      <c r="B18" s="2" t="s">
        <v>86</v>
      </c>
      <c r="C18" s="28">
        <v>5</v>
      </c>
      <c r="D18" s="4">
        <v>5</v>
      </c>
      <c r="E18" s="4">
        <v>0</v>
      </c>
      <c r="F18" s="4">
        <v>0</v>
      </c>
      <c r="G18" s="4">
        <v>0</v>
      </c>
      <c r="H18" s="4">
        <v>0</v>
      </c>
      <c r="I18" s="28">
        <v>5</v>
      </c>
    </row>
    <row r="19" spans="2:9" ht="15.75" customHeight="1" x14ac:dyDescent="0.25">
      <c r="B19" s="2" t="s">
        <v>88</v>
      </c>
      <c r="C19" s="28">
        <v>3</v>
      </c>
      <c r="D19" s="4">
        <v>3</v>
      </c>
      <c r="E19" s="4">
        <v>0</v>
      </c>
      <c r="F19" s="4">
        <v>0</v>
      </c>
      <c r="G19" s="4">
        <v>0</v>
      </c>
      <c r="H19" s="4">
        <v>0</v>
      </c>
      <c r="I19" s="28">
        <v>3</v>
      </c>
    </row>
    <row r="20" spans="2:9" ht="15.75" customHeight="1" x14ac:dyDescent="0.25">
      <c r="B20" s="5" t="s">
        <v>24</v>
      </c>
      <c r="C20">
        <f>SUM(C4:C19)</f>
        <v>87</v>
      </c>
      <c r="D20" s="3">
        <f>C20-SUM(D4:D19)</f>
        <v>63</v>
      </c>
      <c r="E20" s="3">
        <f>D20- SUM(E4:E19)</f>
        <v>43</v>
      </c>
      <c r="F20" s="3">
        <f>E20- SUM(F4:F19)</f>
        <v>25</v>
      </c>
      <c r="G20" s="3">
        <f>F20- SUM(G4:G19)</f>
        <v>11</v>
      </c>
      <c r="H20" s="3">
        <f>G20- SUM(H4:H19)</f>
        <v>0</v>
      </c>
      <c r="I20" s="23">
        <f>SUM(D8:H8)</f>
        <v>6</v>
      </c>
    </row>
    <row r="21" spans="2:9" ht="15.75" customHeight="1" x14ac:dyDescent="0.25">
      <c r="B21" s="5" t="s">
        <v>25</v>
      </c>
      <c r="C21">
        <f>SUM(C4:C19)</f>
        <v>87</v>
      </c>
      <c r="D21" s="17">
        <f>C21-( SUM(C4:C19)/5)</f>
        <v>69.599999999999994</v>
      </c>
      <c r="E21" s="17">
        <f t="shared" ref="E21:H21" si="0">D21-( SUM(D4:D19)/5)</f>
        <v>64.8</v>
      </c>
      <c r="F21" s="17">
        <f t="shared" si="0"/>
        <v>60.8</v>
      </c>
      <c r="G21" s="17">
        <f t="shared" si="0"/>
        <v>57.199999999999996</v>
      </c>
      <c r="H21" s="17">
        <f t="shared" si="0"/>
        <v>54.4</v>
      </c>
      <c r="I21" s="23">
        <f>SUM(D9:H9)</f>
        <v>7</v>
      </c>
    </row>
    <row r="22" spans="2:9" ht="15.75" customHeight="1" x14ac:dyDescent="0.25">
      <c r="B22" s="18"/>
      <c r="C22" s="18"/>
    </row>
    <row r="23" spans="2:9" ht="15.75" customHeight="1" x14ac:dyDescent="0.25">
      <c r="B23" s="18"/>
      <c r="C23" s="18"/>
    </row>
    <row r="24" spans="2:9" ht="15.75" customHeight="1" x14ac:dyDescent="0.25">
      <c r="B24" s="18"/>
      <c r="C24" s="18"/>
    </row>
    <row r="25" spans="2:9" ht="15.75" customHeight="1" x14ac:dyDescent="0.25">
      <c r="B25" s="18"/>
      <c r="C25" s="18"/>
    </row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Leo Bolaños</cp:lastModifiedBy>
  <dcterms:created xsi:type="dcterms:W3CDTF">2023-06-05T13:12:31Z</dcterms:created>
  <dcterms:modified xsi:type="dcterms:W3CDTF">2026-02-02T19:52:03Z</dcterms:modified>
</cp:coreProperties>
</file>